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drawings/drawing2.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530" codeName="{DD97A8EA-9A9A-E61F-A557-7D5A7D7259CE}"/>
  <workbookPr codeName="ThisWorkbook"/>
  <mc:AlternateContent xmlns:mc="http://schemas.openxmlformats.org/markup-compatibility/2006">
    <mc:Choice Requires="x15">
      <x15ac:absPath xmlns:x15ac="http://schemas.microsoft.com/office/spreadsheetml/2010/11/ac" url="C:\Users\kaden\Proton Drive\My files\Work\Actuvon\CNC Box\Single Axis Slider\"/>
    </mc:Choice>
  </mc:AlternateContent>
  <xr:revisionPtr revIDLastSave="0" documentId="13_ncr:1_{AA910496-74CC-40CA-BD56-7FFB4FAE685D}" xr6:coauthVersionLast="47" xr6:coauthVersionMax="47" xr10:uidLastSave="{00000000-0000-0000-0000-000000000000}"/>
  <bookViews>
    <workbookView xWindow="-120" yWindow="-120" windowWidth="29040" windowHeight="15720" activeTab="7" xr2:uid="{C223861F-75F0-4724-B973-813FC5773628}"/>
  </bookViews>
  <sheets>
    <sheet name="Overview" sheetId="7" r:id="rId1"/>
    <sheet name="Parts" sheetId="1" r:id="rId2"/>
    <sheet name="POs" sheetId="2" r:id="rId3"/>
    <sheet name="PODs" sheetId="3" r:id="rId4"/>
    <sheet name="PO Hist." sheetId="6" r:id="rId5"/>
    <sheet name="Tasks" sheetId="4" r:id="rId6"/>
    <sheet name="T Hist." sheetId="5" r:id="rId7"/>
    <sheet name="Project Journal" sheetId="8" r:id="rId8"/>
  </sheets>
  <definedNames>
    <definedName name="_xleta.DATE" hidden="1" xlm="1">#NAME?</definedName>
    <definedName name="_xleta.IF" hidden="1" xlm="1">#NAME?</definedName>
    <definedName name="POHist" localSheetId="7">Table3[]</definedName>
    <definedName name="POHist">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3" i="4" l="1"/>
  <c r="H14" i="4"/>
  <c r="H15" i="4"/>
  <c r="H16" i="4"/>
  <c r="H17" i="4"/>
  <c r="H18" i="4"/>
  <c r="G13" i="4"/>
  <c r="G14" i="4"/>
  <c r="G15" i="4"/>
  <c r="G16" i="4"/>
  <c r="G17" i="4"/>
  <c r="G18" i="4"/>
  <c r="F13" i="4"/>
  <c r="F14" i="4"/>
  <c r="F15" i="4"/>
  <c r="F16" i="4"/>
  <c r="F17" i="4"/>
  <c r="F18" i="4"/>
  <c r="E21" i="5"/>
  <c r="E20" i="5"/>
  <c r="E19" i="5"/>
  <c r="E26" i="6"/>
  <c r="E25" i="6"/>
  <c r="E24" i="6"/>
  <c r="E23" i="6"/>
  <c r="E22" i="6"/>
  <c r="F10" i="2"/>
  <c r="E21" i="6"/>
  <c r="E20" i="6"/>
  <c r="F21" i="2"/>
  <c r="F14" i="2"/>
  <c r="B21" i="3"/>
  <c r="D21" i="3"/>
  <c r="H21" i="3"/>
  <c r="I21" i="3"/>
  <c r="M21" i="3"/>
  <c r="R21" i="3"/>
  <c r="F26" i="2"/>
  <c r="F24" i="2"/>
  <c r="B20" i="3"/>
  <c r="D20" i="3"/>
  <c r="H20" i="3"/>
  <c r="I20" i="3"/>
  <c r="M20" i="3"/>
  <c r="R20" i="3"/>
  <c r="B19" i="3"/>
  <c r="D19" i="3"/>
  <c r="H19" i="3"/>
  <c r="I19" i="3"/>
  <c r="M19" i="3"/>
  <c r="R19" i="3"/>
  <c r="B18" i="3"/>
  <c r="D18" i="3"/>
  <c r="H18" i="3"/>
  <c r="I18" i="3"/>
  <c r="M18" i="3"/>
  <c r="R18" i="3"/>
  <c r="B17" i="3"/>
  <c r="D17" i="3"/>
  <c r="H17" i="3"/>
  <c r="I17" i="3"/>
  <c r="M17" i="3"/>
  <c r="R17" i="3"/>
  <c r="B16" i="3"/>
  <c r="D16" i="3"/>
  <c r="H16" i="3"/>
  <c r="I16" i="3"/>
  <c r="M16" i="3"/>
  <c r="R16" i="3"/>
  <c r="B28" i="3"/>
  <c r="D28" i="3"/>
  <c r="H28" i="3"/>
  <c r="I28" i="3"/>
  <c r="M28" i="3"/>
  <c r="R28" i="3"/>
  <c r="B27" i="3"/>
  <c r="D27" i="3"/>
  <c r="H27" i="3"/>
  <c r="I27" i="3"/>
  <c r="M27" i="3"/>
  <c r="R27" i="3"/>
  <c r="B26" i="3"/>
  <c r="D26" i="3"/>
  <c r="H26" i="3"/>
  <c r="I26" i="3"/>
  <c r="M26" i="3"/>
  <c r="R26" i="3"/>
  <c r="B15" i="3"/>
  <c r="D15" i="3"/>
  <c r="H15" i="3"/>
  <c r="I15" i="3"/>
  <c r="M15" i="3"/>
  <c r="R15" i="3"/>
  <c r="F23" i="2"/>
  <c r="F22" i="2"/>
  <c r="H26" i="2"/>
  <c r="L30" i="1" s="1"/>
  <c r="I26" i="2"/>
  <c r="J26" i="2"/>
  <c r="H25" i="2"/>
  <c r="L19" i="3" s="1"/>
  <c r="I25" i="2"/>
  <c r="J25" i="2"/>
  <c r="H24" i="2"/>
  <c r="L70" i="1" s="1"/>
  <c r="I24" i="2"/>
  <c r="J24" i="2"/>
  <c r="H23" i="2"/>
  <c r="L65" i="1" s="1"/>
  <c r="I23" i="2"/>
  <c r="J23" i="2"/>
  <c r="H22" i="2"/>
  <c r="L54" i="1" s="1"/>
  <c r="I22" i="2"/>
  <c r="J22" i="2"/>
  <c r="H13" i="2"/>
  <c r="L27" i="1" s="1"/>
  <c r="H14" i="2"/>
  <c r="L51" i="1" s="1"/>
  <c r="H15" i="2"/>
  <c r="L19" i="1" s="1"/>
  <c r="H16" i="2"/>
  <c r="L23" i="3" s="1"/>
  <c r="H17" i="2"/>
  <c r="L55" i="1" s="1"/>
  <c r="H18" i="2"/>
  <c r="L71" i="1" s="1"/>
  <c r="H19" i="2"/>
  <c r="L32" i="1" s="1"/>
  <c r="H20" i="2"/>
  <c r="L36" i="1" s="1"/>
  <c r="H21" i="2"/>
  <c r="L42" i="1" s="1"/>
  <c r="I20" i="2"/>
  <c r="J21" i="2"/>
  <c r="E13" i="6"/>
  <c r="E14" i="6"/>
  <c r="E15" i="6"/>
  <c r="E16" i="6"/>
  <c r="E17" i="6"/>
  <c r="E18" i="6"/>
  <c r="E19" i="6"/>
  <c r="J20" i="2"/>
  <c r="I21" i="2"/>
  <c r="I19" i="2"/>
  <c r="J19" i="2"/>
  <c r="B22" i="3"/>
  <c r="D22" i="3"/>
  <c r="H22" i="3"/>
  <c r="I22" i="3"/>
  <c r="M22" i="3"/>
  <c r="R22" i="3"/>
  <c r="E18" i="5"/>
  <c r="E17" i="5"/>
  <c r="E16" i="5"/>
  <c r="N14" i="3"/>
  <c r="O14" i="3"/>
  <c r="I13" i="3"/>
  <c r="I14" i="3"/>
  <c r="I23" i="3"/>
  <c r="I24" i="3"/>
  <c r="I25" i="3"/>
  <c r="H13" i="3"/>
  <c r="H14" i="3"/>
  <c r="H23" i="3"/>
  <c r="H24" i="3"/>
  <c r="H25" i="3"/>
  <c r="F14" i="3"/>
  <c r="D13" i="3"/>
  <c r="B14" i="3"/>
  <c r="D14" i="3"/>
  <c r="M14" i="3"/>
  <c r="R14" i="3"/>
  <c r="M13" i="3"/>
  <c r="M23" i="3"/>
  <c r="M24" i="3"/>
  <c r="M25" i="3"/>
  <c r="R13" i="3"/>
  <c r="R23" i="3"/>
  <c r="R24" i="3"/>
  <c r="R25" i="3"/>
  <c r="B13" i="3"/>
  <c r="B23" i="3"/>
  <c r="B24" i="3"/>
  <c r="B25" i="3"/>
  <c r="D25" i="3"/>
  <c r="D24" i="3"/>
  <c r="D23" i="3"/>
  <c r="I18" i="2"/>
  <c r="J18" i="2"/>
  <c r="I17" i="2"/>
  <c r="J17" i="2"/>
  <c r="I16" i="2"/>
  <c r="J16" i="2"/>
  <c r="E15" i="5"/>
  <c r="E14" i="5"/>
  <c r="E13" i="5"/>
  <c r="L21" i="1"/>
  <c r="L24" i="1"/>
  <c r="L25" i="1"/>
  <c r="L26" i="1"/>
  <c r="L28" i="1"/>
  <c r="L31" i="1"/>
  <c r="L33" i="1"/>
  <c r="L37" i="1"/>
  <c r="L38" i="1"/>
  <c r="L40" i="1"/>
  <c r="L41" i="1"/>
  <c r="L43" i="1"/>
  <c r="L44" i="1"/>
  <c r="L45" i="1"/>
  <c r="L48" i="1"/>
  <c r="L49" i="1"/>
  <c r="L50" i="1"/>
  <c r="L53" i="1"/>
  <c r="L20" i="1"/>
  <c r="L13" i="1"/>
  <c r="L14" i="1"/>
  <c r="L15" i="1"/>
  <c r="L16" i="1"/>
  <c r="L17" i="1"/>
  <c r="L18" i="1"/>
  <c r="I15" i="2"/>
  <c r="J15" i="2"/>
  <c r="J13" i="2"/>
  <c r="J14" i="2"/>
  <c r="I13" i="2"/>
  <c r="I14" i="2"/>
  <c r="L21" i="3" l="1"/>
  <c r="L16" i="3"/>
  <c r="L27" i="3"/>
  <c r="L28" i="3"/>
  <c r="L26" i="3"/>
  <c r="L18" i="3"/>
  <c r="L25" i="3"/>
  <c r="L20" i="3"/>
  <c r="L24" i="3"/>
  <c r="L15" i="3"/>
  <c r="L69" i="1"/>
  <c r="L17" i="3"/>
  <c r="L52" i="1"/>
  <c r="L34" i="1"/>
  <c r="L75" i="1"/>
  <c r="L22" i="1"/>
  <c r="L80" i="1"/>
  <c r="L47" i="1"/>
  <c r="L46" i="1"/>
  <c r="L23" i="1"/>
  <c r="L39" i="1"/>
  <c r="L35" i="1"/>
  <c r="L29" i="1"/>
  <c r="L22" i="3"/>
  <c r="L13" i="3"/>
  <c r="L1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Kaden Burgart</author>
  </authors>
  <commentList>
    <comment ref="E12" authorId="0" shapeId="0" xr:uid="{0CDBEFD3-1715-4DA6-B03E-E4BD85C31099}">
      <text>
        <r>
          <rPr>
            <b/>
            <sz val="9"/>
            <color indexed="81"/>
            <rFont val="Tahoma"/>
            <family val="2"/>
          </rPr>
          <t>Kaden Burgart:</t>
        </r>
        <r>
          <rPr>
            <sz val="9"/>
            <color indexed="81"/>
            <rFont val="Tahoma"/>
            <family val="2"/>
          </rPr>
          <t xml:space="preserve">
Perhaps use a numbered categoty from the MSE knowledge map.</t>
        </r>
      </text>
    </comment>
    <comment ref="F12" authorId="0" shapeId="0" xr:uid="{DC3D75F2-5793-459C-AD77-C650FF7D67F4}">
      <text>
        <r>
          <rPr>
            <b/>
            <sz val="9"/>
            <color indexed="81"/>
            <rFont val="Tahoma"/>
            <charset val="1"/>
          </rPr>
          <t>Kaden Burgart:</t>
        </r>
        <r>
          <rPr>
            <sz val="9"/>
            <color indexed="81"/>
            <rFont val="Tahoma"/>
            <charset val="1"/>
          </rPr>
          <t xml:space="preserve">
Is this part still a part of the design, or has it been replaced or otherwise removed from the design?</t>
        </r>
      </text>
    </comment>
    <comment ref="G12" authorId="0" shapeId="0" xr:uid="{C45C1F52-3B48-432D-B74A-168E39BE4CE7}">
      <text>
        <r>
          <rPr>
            <b/>
            <sz val="9"/>
            <color indexed="81"/>
            <rFont val="Tahoma"/>
            <family val="2"/>
          </rPr>
          <t>Kaden Burgart:</t>
        </r>
        <r>
          <rPr>
            <sz val="9"/>
            <color indexed="81"/>
            <rFont val="Tahoma"/>
            <family val="2"/>
          </rPr>
          <t xml:space="preserve">
The total number of the this part that will be needed. For example, if I need 2 screws per bearing and there are 2 bearings, I write 4 here because I will need to order 4 screws.</t>
        </r>
      </text>
    </comment>
    <comment ref="C14" authorId="0" shapeId="0" xr:uid="{2A099E51-A9FE-4BF6-86F7-62F32AEFDB33}">
      <text>
        <r>
          <rPr>
            <b/>
            <sz val="9"/>
            <color indexed="81"/>
            <rFont val="Tahoma"/>
            <family val="2"/>
          </rPr>
          <t xml:space="preserve">Kaden Burgart
</t>
        </r>
        <r>
          <rPr>
            <sz val="9"/>
            <color indexed="81"/>
            <rFont val="Tahoma"/>
            <family val="2"/>
          </rPr>
          <t>Issues:
-Motor screw holes don't align.
-Two halves fit imperfectly.
-Imperfect linearity bends the linear rail and binds up the system. We should be using something like a T-slot rail that's very straight.</t>
        </r>
      </text>
    </comment>
    <comment ref="C20" authorId="0" shapeId="0" xr:uid="{614BFD35-DDE3-40B2-A131-586930D69100}">
      <text>
        <r>
          <rPr>
            <b/>
            <sz val="9"/>
            <color indexed="81"/>
            <rFont val="Tahoma"/>
            <family val="2"/>
          </rPr>
          <t>Kaden Burgart:</t>
        </r>
        <r>
          <rPr>
            <sz val="9"/>
            <color indexed="81"/>
            <rFont val="Tahoma"/>
            <family val="2"/>
          </rPr>
          <t xml:space="preserve">
I don't have screws long enough for this style of mount. I also don't like putting the screws down these tight holes; it sucks. Redesign to solve these issues.</t>
        </r>
      </text>
    </comment>
    <comment ref="C25" authorId="0" shapeId="0" xr:uid="{9C940B14-D6D6-4505-9EFC-1569FB4C45A6}">
      <text>
        <r>
          <rPr>
            <b/>
            <sz val="9"/>
            <color indexed="81"/>
            <rFont val="Tahoma"/>
            <family val="2"/>
          </rPr>
          <t>Kaden Burgart:</t>
        </r>
        <r>
          <rPr>
            <sz val="9"/>
            <color indexed="81"/>
            <rFont val="Tahoma"/>
            <family val="2"/>
          </rPr>
          <t xml:space="preserve">
I don't have screws that are long enough, the way the mount is now.</t>
        </r>
      </text>
    </comment>
    <comment ref="C29" authorId="0" shapeId="0" xr:uid="{0E5B44DE-6F89-4B8C-8F77-07ADDAF3504F}">
      <text>
        <r>
          <rPr>
            <b/>
            <sz val="9"/>
            <color indexed="81"/>
            <rFont val="Tahoma"/>
            <family val="2"/>
          </rPr>
          <t>Kaden Burgart:</t>
        </r>
        <r>
          <rPr>
            <sz val="9"/>
            <color indexed="81"/>
            <rFont val="Tahoma"/>
            <family val="2"/>
          </rPr>
          <t xml:space="preserve">
Not needed for low torque applications. The coupler with no screw is probably stronger than the stepper itself.</t>
        </r>
      </text>
    </comment>
    <comment ref="C30" authorId="0" shapeId="0" xr:uid="{C441701A-472F-49D6-952A-1D2EF5760A40}">
      <text>
        <r>
          <rPr>
            <b/>
            <sz val="9"/>
            <color indexed="81"/>
            <rFont val="Tahoma"/>
            <family val="2"/>
          </rPr>
          <t>Kaden Burgart:</t>
        </r>
        <r>
          <rPr>
            <sz val="9"/>
            <color indexed="81"/>
            <rFont val="Tahoma"/>
            <family val="2"/>
          </rPr>
          <t xml:space="preserve">
Not currently incorporated, though it would probably be good to add this.</t>
        </r>
      </text>
    </comment>
    <comment ref="C31" authorId="0" shapeId="0" xr:uid="{2B2F66BD-D356-4A82-BFCC-0B6C899B36A9}">
      <text>
        <r>
          <rPr>
            <b/>
            <sz val="9"/>
            <color indexed="81"/>
            <rFont val="Tahoma"/>
            <family val="2"/>
          </rPr>
          <t>Kaden Burgart:</t>
        </r>
        <r>
          <rPr>
            <sz val="9"/>
            <color indexed="81"/>
            <rFont val="Tahoma"/>
            <family val="2"/>
          </rPr>
          <t xml:space="preserve">
This binds everything up because there isn't enough freedome to adjust this to its perfect position in all 4 degrees of freedom that need to be perfect.
The current design has removed this, as it isn't actually needed until we get to high-force use cases that are probably beyond the capability of this stepper anyway.</t>
        </r>
      </text>
    </comment>
    <comment ref="C57" authorId="0" shapeId="0" xr:uid="{C4474486-EC8D-4646-AEB9-B946AD156057}">
      <text>
        <r>
          <rPr>
            <b/>
            <sz val="9"/>
            <color indexed="81"/>
            <rFont val="Tahoma"/>
            <family val="2"/>
          </rPr>
          <t>Kaden Burgart:</t>
        </r>
        <r>
          <rPr>
            <sz val="9"/>
            <color indexed="81"/>
            <rFont val="Tahoma"/>
            <family val="2"/>
          </rPr>
          <t xml:space="preserve">
I originally had a perf board/proto board with 3 DRV8825 drivers mounted on it. I have since opted to not use that board for a few reasons.
1) This is a SINGLE AXIS slider project.
2) The perf board didn't expose all pins to the MCU; it fixed the microstepping mode and sleep/enable pins so that they were non-editable. This stopped me from playing with the settings and trying things out.
3) The individual drivers were not atomically removeable and configurable.
4) I found a different way of doing things that suited my prioritied better.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Kaden Burgart</author>
  </authors>
  <commentList>
    <comment ref="F12" authorId="0" shapeId="0" xr:uid="{DB4B4A6E-0DFA-4C1C-AE9B-0958440F0D29}">
      <text>
        <r>
          <rPr>
            <b/>
            <sz val="9"/>
            <color indexed="81"/>
            <rFont val="Tahoma"/>
            <family val="2"/>
          </rPr>
          <t>Kaden Burgart:</t>
        </r>
        <r>
          <rPr>
            <sz val="9"/>
            <color indexed="81"/>
            <rFont val="Tahoma"/>
            <family val="2"/>
          </rPr>
          <t xml:space="preserve">
Cost in CAD after tax and shipping.</t>
        </r>
      </text>
    </comment>
    <comment ref="F17" authorId="0" shapeId="0" xr:uid="{02A5B876-D87A-4058-AE04-2EC89881F305}">
      <text>
        <r>
          <rPr>
            <b/>
            <sz val="9"/>
            <color indexed="81"/>
            <rFont val="Tahoma"/>
            <charset val="1"/>
          </rPr>
          <t>Kaden Burgart:</t>
        </r>
        <r>
          <rPr>
            <sz val="9"/>
            <color indexed="81"/>
            <rFont val="Tahoma"/>
            <charset val="1"/>
          </rPr>
          <t xml:space="preserve">
Yeah I was THAT anal about this in that moment.</t>
        </r>
      </text>
    </comment>
    <comment ref="F18" authorId="0" shapeId="0" xr:uid="{7CE92523-E319-46E3-AB5A-617EC349ABF5}">
      <text>
        <r>
          <rPr>
            <b/>
            <sz val="9"/>
            <color indexed="81"/>
            <rFont val="Tahoma"/>
            <charset val="1"/>
          </rPr>
          <t>Kaden Burgart:</t>
        </r>
        <r>
          <rPr>
            <sz val="9"/>
            <color indexed="81"/>
            <rFont val="Tahoma"/>
            <charset val="1"/>
          </rPr>
          <t xml:space="preserve">
Yeah I was THAT anal about this in that moment.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Kaden Burgart</author>
  </authors>
  <commentList>
    <comment ref="J12" authorId="0" shapeId="0" xr:uid="{52D5155E-9FCF-4B2E-8811-52862F0787DA}">
      <text>
        <r>
          <rPr>
            <b/>
            <sz val="9"/>
            <color indexed="81"/>
            <rFont val="Tahoma"/>
            <family val="2"/>
          </rPr>
          <t>Kaden Burgart:</t>
        </r>
        <r>
          <rPr>
            <sz val="9"/>
            <color indexed="81"/>
            <rFont val="Tahoma"/>
            <family val="2"/>
          </rPr>
          <t xml:space="preserve">
Describe the details which will define the SKU to the vendor. E.g. for a power cable we might describe it as SOOW 14/3, using the nomenclature of vendors to define the standard part so we can easily verify it against the order line.</t>
        </r>
      </text>
    </comment>
    <comment ref="K12" authorId="0" shapeId="0" xr:uid="{0D23BF62-3722-4807-B8B4-225E6A59F1C0}">
      <text>
        <r>
          <rPr>
            <b/>
            <sz val="9"/>
            <color indexed="81"/>
            <rFont val="Tahoma"/>
            <family val="2"/>
          </rPr>
          <t>Kaden Burgart:</t>
        </r>
        <r>
          <rPr>
            <sz val="9"/>
            <color indexed="81"/>
            <rFont val="Tahoma"/>
            <family val="2"/>
          </rPr>
          <t xml:space="preserve">
How many of the [Part#] parts are included in this line item?
Example: Amazon has a posting for two lead screws with nuts included. Then the Part Qty is 2 for the lead screws, and 2 for the nuts, but the Order Qty is 1 because I'm only buying 1 batch of 2 lead screw assemblies.</t>
        </r>
      </text>
    </comment>
  </commentList>
</comments>
</file>

<file path=xl/sharedStrings.xml><?xml version="1.0" encoding="utf-8"?>
<sst xmlns="http://schemas.openxmlformats.org/spreadsheetml/2006/main" count="596" uniqueCount="365">
  <si>
    <t>Part #</t>
  </si>
  <si>
    <t>Part Description</t>
  </si>
  <si>
    <t>Part Name</t>
  </si>
  <si>
    <t>This page lists the different purchases that need to be made to build the project.</t>
  </si>
  <si>
    <t>The line items within each purchase are described in the Order Details sheet.</t>
  </si>
  <si>
    <t>Most Order Detail lines should reference parts, but some order lines relate to services instead.</t>
  </si>
  <si>
    <t>This sheet is about checking what things have or haven't been ordered, and making sure they arrive on time.</t>
  </si>
  <si>
    <t>Order #</t>
  </si>
  <si>
    <t>Name</t>
  </si>
  <si>
    <t>Description</t>
  </si>
  <si>
    <t>Vendor</t>
  </si>
  <si>
    <t>Status</t>
  </si>
  <si>
    <t>Amount (CAD)</t>
  </si>
  <si>
    <t>SO#</t>
  </si>
  <si>
    <t>QT#</t>
  </si>
  <si>
    <t>PO#</t>
  </si>
  <si>
    <t>IN#</t>
  </si>
  <si>
    <t>Last Updated</t>
  </si>
  <si>
    <t>Last Note</t>
  </si>
  <si>
    <t>T8 lead screw</t>
  </si>
  <si>
    <t>Amazon</t>
  </si>
  <si>
    <t>Statuses:</t>
  </si>
  <si>
    <t>Planning</t>
  </si>
  <si>
    <t>RFQ Submitted</t>
  </si>
  <si>
    <t>Quoted</t>
  </si>
  <si>
    <t>Sent to Accounting</t>
  </si>
  <si>
    <t>Paid</t>
  </si>
  <si>
    <t>Receiving</t>
  </si>
  <si>
    <t>Received</t>
  </si>
  <si>
    <t>QTY</t>
  </si>
  <si>
    <t>Type</t>
  </si>
  <si>
    <t>The frame that everything else mounts on.</t>
  </si>
  <si>
    <t>3D Print</t>
  </si>
  <si>
    <t>Version</t>
  </si>
  <si>
    <t>Parts</t>
  </si>
  <si>
    <t>Linear Rails</t>
  </si>
  <si>
    <t>Main linearity provider.</t>
  </si>
  <si>
    <t>Total :</t>
  </si>
  <si>
    <t>B0B8RKN89V</t>
  </si>
  <si>
    <t>Included/Cancelled</t>
  </si>
  <si>
    <t>Included</t>
  </si>
  <si>
    <t>Order Name</t>
  </si>
  <si>
    <t>Order Line Name</t>
  </si>
  <si>
    <t>Line Num.</t>
  </si>
  <si>
    <t>Part Desc</t>
  </si>
  <si>
    <t>Part Ordering Req.</t>
  </si>
  <si>
    <t>Orders often have a number of different line items on the receipt.</t>
  </si>
  <si>
    <t>Thacking those is important. We need to check the lines against the parts that we need to verify that they are correct,</t>
  </si>
  <si>
    <t>to verify that everything gets purchased on time,and to verify things get purchased in the correct style and quantity.</t>
  </si>
  <si>
    <t>Sometimes a single order line might apply to multiple parts. When this happens, make one order detail row for each [part#, orderline#] combination</t>
  </si>
  <si>
    <t>Part Qty</t>
  </si>
  <si>
    <t>SKU</t>
  </si>
  <si>
    <t>Price/ea</t>
  </si>
  <si>
    <t>Subtotal (CAD)</t>
  </si>
  <si>
    <t>Notes</t>
  </si>
  <si>
    <t>Order Qty</t>
  </si>
  <si>
    <t>Drive Assembly</t>
  </si>
  <si>
    <t>Carriage Assembly</t>
  </si>
  <si>
    <t>Electronics</t>
  </si>
  <si>
    <t>Carriage</t>
  </si>
  <si>
    <t>The main carriage piece</t>
  </si>
  <si>
    <t>x</t>
  </si>
  <si>
    <t>v0</t>
  </si>
  <si>
    <t>Purchase Orders</t>
  </si>
  <si>
    <t>Connected Parts</t>
  </si>
  <si>
    <t>PO</t>
  </si>
  <si>
    <t>Link</t>
  </si>
  <si>
    <t>($CAD)</t>
  </si>
  <si>
    <t>Date</t>
  </si>
  <si>
    <t>PO Name</t>
  </si>
  <si>
    <t>Note</t>
  </si>
  <si>
    <t>Keep track of the order as updates come in. When something happens to an order's status (say, we get confirmation that it was shipped),</t>
  </si>
  <si>
    <t>put the update in here. Just enter the PO number, the date, and the current status of the order, then a note about what happened.</t>
  </si>
  <si>
    <t>The latest update for any order in this table will show up in the POs sheet.</t>
  </si>
  <si>
    <t>PO1</t>
  </si>
  <si>
    <t>PO2</t>
  </si>
  <si>
    <t>PO #</t>
  </si>
  <si>
    <t>POD#</t>
  </si>
  <si>
    <t>2PCS 250mm（9.84 Inches）Tr8x8 Lead Screw with T8 Brass Nut (Acme Thread, 2mm Pitch, 4 Starts, 8mm Lead) for LCD DLP SLA 3D Printer Z Axis and CNC Machine</t>
  </si>
  <si>
    <t>Motor</t>
  </si>
  <si>
    <t>Motor Mount</t>
  </si>
  <si>
    <t>Coupler</t>
  </si>
  <si>
    <t>Lead Screw</t>
  </si>
  <si>
    <t>Coupler Motor Set Screw</t>
  </si>
  <si>
    <t>Coupler Leadscrew Set Screw</t>
  </si>
  <si>
    <t>Flange Bearing</t>
  </si>
  <si>
    <t>Pillow Block Bearing</t>
  </si>
  <si>
    <t>Pillow Block Bearing Mount</t>
  </si>
  <si>
    <t>Flange Bearing Mount</t>
  </si>
  <si>
    <t>Diagram</t>
  </si>
  <si>
    <t>P1</t>
  </si>
  <si>
    <t>P2</t>
  </si>
  <si>
    <t>P2-1</t>
  </si>
  <si>
    <t>P2-2</t>
  </si>
  <si>
    <t>P2-3</t>
  </si>
  <si>
    <t>P2-3-1</t>
  </si>
  <si>
    <t>P2-3-2</t>
  </si>
  <si>
    <t>P2-5</t>
  </si>
  <si>
    <t>P2-7</t>
  </si>
  <si>
    <t>P2-9</t>
  </si>
  <si>
    <t>P2-10</t>
  </si>
  <si>
    <t>P3</t>
  </si>
  <si>
    <t>P3-1</t>
  </si>
  <si>
    <t>P4</t>
  </si>
  <si>
    <t>P2-11</t>
  </si>
  <si>
    <t>Limit Switch A</t>
  </si>
  <si>
    <t>P2-12</t>
  </si>
  <si>
    <t>Limit Switch B</t>
  </si>
  <si>
    <t>P2-11-1</t>
  </si>
  <si>
    <t>Motor Assembly</t>
  </si>
  <si>
    <t>P2-1-2</t>
  </si>
  <si>
    <t>P2-1-1</t>
  </si>
  <si>
    <t>P2-5-2</t>
  </si>
  <si>
    <t>Pillow Block Bearing Assembly</t>
  </si>
  <si>
    <t>P2-5-1</t>
  </si>
  <si>
    <t>P2-5-3</t>
  </si>
  <si>
    <t>P2-1-3</t>
  </si>
  <si>
    <t>Pillow Block Mounting Screws</t>
  </si>
  <si>
    <t>P2-1-4</t>
  </si>
  <si>
    <t>Motor Mount Screw Asm</t>
  </si>
  <si>
    <t>Assembly</t>
  </si>
  <si>
    <t>PO Status</t>
  </si>
  <si>
    <t>Construction Progress</t>
  </si>
  <si>
    <t>P4-1</t>
  </si>
  <si>
    <t>P2-1-3-1</t>
  </si>
  <si>
    <t>Motor Mount Screw</t>
  </si>
  <si>
    <t>Motor Mount Screw Washer</t>
  </si>
  <si>
    <t>P2-1-3-2</t>
  </si>
  <si>
    <t>P2-1-4-1</t>
  </si>
  <si>
    <t>Motor Mount Chassis Screw</t>
  </si>
  <si>
    <t>Motor Mount Chassis Screw Asm</t>
  </si>
  <si>
    <t>P2-1-4-2</t>
  </si>
  <si>
    <t>Motor Mount Chassis Screw Nut</t>
  </si>
  <si>
    <t>Chassis Assembly</t>
  </si>
  <si>
    <t>P1-1</t>
  </si>
  <si>
    <t>P1-1-1</t>
  </si>
  <si>
    <t>Chassis Body Print Asm</t>
  </si>
  <si>
    <t>P1-1-2</t>
  </si>
  <si>
    <t>Systems are made of parts. There are a few main subassemblies in the system.</t>
  </si>
  <si>
    <t>Some parts of subassemblies are subassemblies.</t>
  </si>
  <si>
    <t>In this table we itemise all subassemblies and parts, give them unique numbers, and indicate what diagrams they can be found in and what other parts they connect to.</t>
  </si>
  <si>
    <t>On the far right, we also link the related purchase orders and work orders, and link in their status so we can monitor our progress as we do a build.</t>
  </si>
  <si>
    <t>Each subassembly gets a part number. Some parts of subassemblies come from purchase orders (buying things) and some parts of subassemblies come from work orders (doing things).</t>
  </si>
  <si>
    <t>Overview</t>
  </si>
  <si>
    <t>Fastener</t>
  </si>
  <si>
    <t>Order Received</t>
  </si>
  <si>
    <t>Purchase Order Details</t>
  </si>
  <si>
    <t>Purchase Order History</t>
  </si>
  <si>
    <t>Purchasing Documents</t>
  </si>
  <si>
    <t>(CAD)</t>
  </si>
  <si>
    <t>This document pertains to the single axis slider project. See the README.md.</t>
  </si>
  <si>
    <t>See document 2 - Single Axis Slider Diagrams</t>
  </si>
  <si>
    <t>P2, P3</t>
  </si>
  <si>
    <t>D1</t>
  </si>
  <si>
    <t>Limit Switch A Mount</t>
  </si>
  <si>
    <t>Limit Switch A Asm</t>
  </si>
  <si>
    <t>P2-11-2</t>
  </si>
  <si>
    <t>Limit Switch B Asm</t>
  </si>
  <si>
    <t>P2-12-1</t>
  </si>
  <si>
    <t>P2-12-2</t>
  </si>
  <si>
    <t>Limit Switch B Mount</t>
  </si>
  <si>
    <t>P3-2</t>
  </si>
  <si>
    <t>P3-3</t>
  </si>
  <si>
    <t>P3-4</t>
  </si>
  <si>
    <t>Carriage LeadNut Screws</t>
  </si>
  <si>
    <t>Carriage LeadNut Screw Nuts</t>
  </si>
  <si>
    <t>Carriage LeadNut Screw Inserts</t>
  </si>
  <si>
    <t>P3-5</t>
  </si>
  <si>
    <t>P5</t>
  </si>
  <si>
    <t>Rail Assembly</t>
  </si>
  <si>
    <t>Linear Rail</t>
  </si>
  <si>
    <t>P4-2</t>
  </si>
  <si>
    <t>Linear Rail Slide</t>
  </si>
  <si>
    <t>Carriage Slide Screws</t>
  </si>
  <si>
    <t>PO3</t>
  </si>
  <si>
    <t>Motors</t>
  </si>
  <si>
    <t>This document relates to build version v0</t>
  </si>
  <si>
    <t>Both halves together</t>
  </si>
  <si>
    <t>Chassis Body Print Flange End</t>
  </si>
  <si>
    <t>Chassis Body Print Motor End</t>
  </si>
  <si>
    <t>K08 Flange bearing</t>
  </si>
  <si>
    <t>K08 Pillow Block Bearing</t>
  </si>
  <si>
    <t>Lead Screw Nut</t>
  </si>
  <si>
    <t>P5-1</t>
  </si>
  <si>
    <t>Main Controller</t>
  </si>
  <si>
    <t>Arduino Due</t>
  </si>
  <si>
    <t>P5-2</t>
  </si>
  <si>
    <t>P5-2-1</t>
  </si>
  <si>
    <t>Board with connections and wires</t>
  </si>
  <si>
    <t>Stepper Driver Breakout 1</t>
  </si>
  <si>
    <t>P5-2-2</t>
  </si>
  <si>
    <t>Leftmost driver viewed from motor side</t>
  </si>
  <si>
    <t>P5-2-3</t>
  </si>
  <si>
    <t>Middle driver</t>
  </si>
  <si>
    <t>Rightmost driver viewed from motor side</t>
  </si>
  <si>
    <t>P5-2-4</t>
  </si>
  <si>
    <t>Yellow wire</t>
  </si>
  <si>
    <t>P5-2:2</t>
  </si>
  <si>
    <t>P5-2:1</t>
  </si>
  <si>
    <t>Black wire</t>
  </si>
  <si>
    <t>Red wire</t>
  </si>
  <si>
    <t>P5-2:3</t>
  </si>
  <si>
    <t>SDB1: Wake</t>
  </si>
  <si>
    <t>SDB1: Perf Board</t>
  </si>
  <si>
    <t>SDB1: Driver 1</t>
  </si>
  <si>
    <t>SDB1: Driver 2</t>
  </si>
  <si>
    <t>SDB1: Driver 3</t>
  </si>
  <si>
    <t>SDB1: Motor voltage</t>
  </si>
  <si>
    <t>SDB1: 0V</t>
  </si>
  <si>
    <t>P5-3</t>
  </si>
  <si>
    <t>Perf Board (original design)</t>
  </si>
  <si>
    <t>Independent Stepper Driver 1</t>
  </si>
  <si>
    <t>Active</t>
  </si>
  <si>
    <t>Hold the motor to the mount</t>
  </si>
  <si>
    <t>Hold the mount to the base</t>
  </si>
  <si>
    <t>Task #</t>
  </si>
  <si>
    <t>Task</t>
  </si>
  <si>
    <t>T1</t>
  </si>
  <si>
    <t>T2</t>
  </si>
  <si>
    <t>T3</t>
  </si>
  <si>
    <t>First concept diagram</t>
  </si>
  <si>
    <t>Outline objectives</t>
  </si>
  <si>
    <t>Begin identifying key parts</t>
  </si>
  <si>
    <t>Projects involve a number of tasks that need to be completed.</t>
  </si>
  <si>
    <t>This sheet lets us list the tasks we need to do, and monitor the status of each task.</t>
  </si>
  <si>
    <t>This sheet pairs with the task history sheet "T Hist."</t>
  </si>
  <si>
    <t>Priority</t>
  </si>
  <si>
    <t>Tasks</t>
  </si>
  <si>
    <t>On Hold</t>
  </si>
  <si>
    <t>Started (Active)</t>
  </si>
  <si>
    <t>Completed</t>
  </si>
  <si>
    <t>Priorities:</t>
  </si>
  <si>
    <t>Highest</t>
  </si>
  <si>
    <t>High</t>
  </si>
  <si>
    <t>Average</t>
  </si>
  <si>
    <t>Low</t>
  </si>
  <si>
    <t>Lowest</t>
  </si>
  <si>
    <t>Task Name</t>
  </si>
  <si>
    <t>Identified in the README.md</t>
  </si>
  <si>
    <t>Task History</t>
  </si>
  <si>
    <t>Keep track of tasks progress gets updated. When something happens to a task's status (say, we do a bunch of work on a part),</t>
  </si>
  <si>
    <t>put the update in here. Just enter the task number, the date, and a note about what happened.</t>
  </si>
  <si>
    <t>The latest update for any task in this table will show up in the Tasks sheet.</t>
  </si>
  <si>
    <t>Outlined in diagram D1 and included in the Parts sheet</t>
  </si>
  <si>
    <t>Generated diagram D1</t>
  </si>
  <si>
    <t>T4</t>
  </si>
  <si>
    <t>Stepper Driver Mounts</t>
  </si>
  <si>
    <t>CAD the new mount for the stepper driver boards - with clips for the female dupont harness connectors.</t>
  </si>
  <si>
    <t>PO4</t>
  </si>
  <si>
    <t>M3 inserts</t>
  </si>
  <si>
    <t>Due Headers M</t>
  </si>
  <si>
    <t>Due Connectors F</t>
  </si>
  <si>
    <t>PO5</t>
  </si>
  <si>
    <t>PO6</t>
  </si>
  <si>
    <t>Order placed</t>
  </si>
  <si>
    <t xml:space="preserve">HANGLIFE Heat-Set Threaded Inserts, M3 Heat Set Insert for 3D Printing Components and Plastic Parts - Brass Metric Knurled Nuts (100 Pieces) </t>
  </si>
  <si>
    <t>P5-1-1</t>
  </si>
  <si>
    <t>Double-row GPIO Headers Male</t>
  </si>
  <si>
    <t>https://www.amazon.ca/dp/B0B8RKN89V</t>
  </si>
  <si>
    <t>https://www.amazon.ca/dp/B0CS6VZYL8</t>
  </si>
  <si>
    <t>https://www.amazon.ca/dp/B00REGUVCA</t>
  </si>
  <si>
    <t>https://www.amazon.ca/dp/B0BZPN6CMX</t>
  </si>
  <si>
    <t>Task Status</t>
  </si>
  <si>
    <t>Included with the leadscrew</t>
  </si>
  <si>
    <t>P5-4</t>
  </si>
  <si>
    <t>P5-4-1</t>
  </si>
  <si>
    <t>Due double-row GPIO connector</t>
  </si>
  <si>
    <t>Dual row female dupont connector</t>
  </si>
  <si>
    <t>T8 lead screw nuts (2 needed)</t>
  </si>
  <si>
    <t>T5</t>
  </si>
  <si>
    <t>Due Lateral Headers</t>
  </si>
  <si>
    <t>Desolder all the pin headers like a fucking masochist, then put right angle headers on instead.</t>
  </si>
  <si>
    <t>I just came up with the plan to have lateral male dupont pin rows as the standard connector for module boards, with female dupont rows connecting to them, and the master harness getting wired in to that. This is a new sort of idea and a big change from the old plan, but I think I like it. Let's get the mechanical part of the mount down for the little stepper driver boards first. We need to have a 3D printed base with clips to secure the female dupont rows in place when they're plugged in. For now, those clips that go on the female dupont harness connectors will be the main thing holding the stepper driver board in place. Later, I might come up with something to secure the board inself even when it isn't plugged in to anything.</t>
  </si>
  <si>
    <t>De-solder all the headers so you can put lateral ones on. You fucking monster why did you decide this was necessary.</t>
  </si>
  <si>
    <t>T6</t>
  </si>
  <si>
    <t>Document past orders</t>
  </si>
  <si>
    <t>Get all past orders in this spreadsheet</t>
  </si>
  <si>
    <t>There are Amazon orders and perhaps other orders that were done before this spreadsheet was a thing. Get that shit in here.</t>
  </si>
  <si>
    <r>
      <rPr>
        <b/>
        <sz val="12"/>
        <color theme="1"/>
        <rFont val="Calibri"/>
        <family val="2"/>
        <scheme val="minor"/>
      </rPr>
      <t>WARNING:</t>
    </r>
    <r>
      <rPr>
        <sz val="12"/>
        <color theme="1"/>
        <rFont val="Calibri"/>
        <family val="2"/>
        <scheme val="minor"/>
      </rPr>
      <t xml:space="preserve"> double clicking a cell in the Date column will set it to today's date.</t>
    </r>
  </si>
  <si>
    <t>P5-3-1</t>
  </si>
  <si>
    <t>Step Drvr 1 Mount</t>
  </si>
  <si>
    <t>Con: P5-3 Motor side</t>
  </si>
  <si>
    <t>P5-4-2</t>
  </si>
  <si>
    <t>Con: P5-3 Ctrl side</t>
  </si>
  <si>
    <t>8 pin female header</t>
  </si>
  <si>
    <t>Same as</t>
  </si>
  <si>
    <t>P5-3-2</t>
  </si>
  <si>
    <t>Step Drvr 1 Mount Clamp</t>
  </si>
  <si>
    <t>P5-1-2</t>
  </si>
  <si>
    <t>Due Mount</t>
  </si>
  <si>
    <t>P5-5</t>
  </si>
  <si>
    <t>Brain Mount Plate</t>
  </si>
  <si>
    <t xml:space="preserve">
Nema17 Stepper Motor – High Torque 4-Lead Motor with 1m Cable, Ideal for CNC, XYZ 3D Printing – Efficient and Versatile 3D Printer Motors (Pack of 2pcs)</t>
  </si>
  <si>
    <t>Bipolar stepper motor</t>
  </si>
  <si>
    <t>1.5A NEMA17</t>
  </si>
  <si>
    <t>B0D1VJ9HHY</t>
  </si>
  <si>
    <t>https://www.amazon.ca/dp/B0D1VJ9HHY</t>
  </si>
  <si>
    <t>Connectors included</t>
  </si>
  <si>
    <t>P6</t>
  </si>
  <si>
    <t>Rack System</t>
  </si>
  <si>
    <t>Electronic controls get mounted on plates that get installed in the rack system</t>
  </si>
  <si>
    <t>P5-4-3</t>
  </si>
  <si>
    <t>Rack plate to host the controller, driver, and connectors</t>
  </si>
  <si>
    <t>Control Harness</t>
  </si>
  <si>
    <t>P5-6</t>
  </si>
  <si>
    <t>Motor Plug Assembly</t>
  </si>
  <si>
    <t>P5-6-1</t>
  </si>
  <si>
    <t>DB9 Male Connector</t>
  </si>
  <si>
    <t>P5-6-2</t>
  </si>
  <si>
    <t>DB9 Female Connector Asm</t>
  </si>
  <si>
    <t>P5-6-1-2</t>
  </si>
  <si>
    <t>P5-6-1-1</t>
  </si>
  <si>
    <t xml:space="preserve">DB9 Female Connector </t>
  </si>
  <si>
    <t>DB9 Female Chassis Mount Top</t>
  </si>
  <si>
    <t>P5-6-1-3</t>
  </si>
  <si>
    <t>DB9 Female Chassis Mount Bottom</t>
  </si>
  <si>
    <t>P5-6-1-4</t>
  </si>
  <si>
    <t>Female connector mount screws</t>
  </si>
  <si>
    <t>M5 screws</t>
  </si>
  <si>
    <t>DB9 Male Connector Asm</t>
  </si>
  <si>
    <t>P5-6-2-1</t>
  </si>
  <si>
    <t>uxcell 25Pcs 2.54mm Pitch Dual Row 80-Pin Male 90 Degree Pin Header Connector</t>
  </si>
  <si>
    <t>Dual row male duponts for the Due</t>
  </si>
  <si>
    <t>Dual row female duponts for the Due</t>
  </si>
  <si>
    <t>Pillow Block Bearings</t>
  </si>
  <si>
    <t>PO7</t>
  </si>
  <si>
    <t>PO8</t>
  </si>
  <si>
    <t>Flange Bearings</t>
  </si>
  <si>
    <t>Cancelled</t>
  </si>
  <si>
    <t>PO9</t>
  </si>
  <si>
    <t>Limit Switches</t>
  </si>
  <si>
    <t>PO10</t>
  </si>
  <si>
    <t>DRV8825 Drivers</t>
  </si>
  <si>
    <t>PO11</t>
  </si>
  <si>
    <t>PO12</t>
  </si>
  <si>
    <t>TMC2209 drivers</t>
  </si>
  <si>
    <t>PO14</t>
  </si>
  <si>
    <t>DB9 connectors</t>
  </si>
  <si>
    <t>PO15</t>
  </si>
  <si>
    <t>10 pairs including the M and F sides</t>
  </si>
  <si>
    <t>6 drivers</t>
  </si>
  <si>
    <t>4 flange bearings</t>
  </si>
  <si>
    <t>4 pillow block bearings</t>
  </si>
  <si>
    <t>https://www.amazon.ca/Arduino-A000062-Due/dp/B00A6C3JN2</t>
  </si>
  <si>
    <t>https://www.amazon.ca/dp/B08WZFK9KT</t>
  </si>
  <si>
    <t>https://www.amazon.ca/dp/B0BLKPQ5NY</t>
  </si>
  <si>
    <t>https://www.amazon.ca/dp/B0BW6QTRRX</t>
  </si>
  <si>
    <t>https://www.amazon.ca/dp/B07SWX3P6T</t>
  </si>
  <si>
    <t>Dupont headers</t>
  </si>
  <si>
    <t>male and female, 10 pcs each x 40 pins</t>
  </si>
  <si>
    <t>https://www.amazon.ca/dp/B08CMNRXJ1</t>
  </si>
  <si>
    <t>https://www.amazon.ca/dp/B07C6W5TJ9</t>
  </si>
  <si>
    <t>100 inserts</t>
  </si>
  <si>
    <t>T8 lead screws</t>
  </si>
  <si>
    <t>QTY 2. The main lead screw for the axis-drive.</t>
  </si>
  <si>
    <t>https://www.amazon.ca/dp/B0BYZ5NDJ2</t>
  </si>
  <si>
    <t>Two Stepper motors</t>
  </si>
  <si>
    <t>https://www.amazon.ca/dp/B07T9DWV4J</t>
  </si>
  <si>
    <t>I've had this thing for ages, actually</t>
  </si>
  <si>
    <t>Planned upgrade</t>
  </si>
  <si>
    <t>I've had these for ages</t>
  </si>
  <si>
    <t>Finished some time in december</t>
  </si>
  <si>
    <t>Just did this</t>
  </si>
  <si>
    <t>Take Notes on what was done at different points in time.</t>
  </si>
  <si>
    <t>JOURNAL SHEET CREATED
The first project overview video was posted a few days ago. I am getting the documentation together to get it ready for the initial post to GitHub. I think that all of the purchasing related to this project is accounted for, although I have not listed the tools I used or the cost of the 3d printing filament. The parts are listed with a basic diagram though, and the code is included. I think we're almost ready to post.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</si>
</sst>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yyyy/mm/dd;@"/>
  </numFmts>
  <fonts count="18"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b/>
      <sz val="18"/>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0"/>
      <name val="Calibri"/>
      <family val="2"/>
      <scheme val="minor"/>
    </font>
    <font>
      <sz val="9"/>
      <color indexed="81"/>
      <name val="Tahoma"/>
      <charset val="1"/>
    </font>
    <font>
      <b/>
      <sz val="9"/>
      <color indexed="81"/>
      <name val="Tahoma"/>
      <charset val="1"/>
    </font>
    <font>
      <sz val="11"/>
      <color theme="5"/>
      <name val="Calibri"/>
      <family val="2"/>
      <scheme val="minor"/>
    </font>
    <font>
      <sz val="11"/>
      <color rgb="FFC00000"/>
      <name val="Calibri"/>
      <family val="2"/>
      <scheme val="minor"/>
    </font>
    <font>
      <u/>
      <sz val="11"/>
      <color theme="10"/>
      <name val="Calibri"/>
      <family val="2"/>
      <scheme val="minor"/>
    </font>
    <font>
      <sz val="11"/>
      <color theme="1" tint="0.499984740745262"/>
      <name val="Calibri"/>
      <family val="2"/>
      <scheme val="minor"/>
    </font>
    <font>
      <sz val="12"/>
      <color theme="1"/>
      <name val="Calibri"/>
      <family val="2"/>
      <scheme val="minor"/>
    </font>
    <font>
      <sz val="11"/>
      <color theme="0" tint="-0.34998626667073579"/>
      <name val="Calibri"/>
      <family val="2"/>
      <scheme val="minor"/>
    </font>
    <font>
      <sz val="8"/>
      <name val="Calibri"/>
      <family val="2"/>
      <scheme val="minor"/>
    </font>
  </fonts>
  <fills count="6">
    <fill>
      <patternFill patternType="none"/>
    </fill>
    <fill>
      <patternFill patternType="gray125"/>
    </fill>
    <fill>
      <patternFill patternType="solid">
        <fgColor theme="1"/>
        <bgColor indexed="64"/>
      </patternFill>
    </fill>
    <fill>
      <patternFill patternType="solid">
        <fgColor theme="2" tint="-0.749992370372631"/>
        <bgColor indexed="64"/>
      </patternFill>
    </fill>
    <fill>
      <patternFill patternType="solid">
        <fgColor theme="1"/>
        <bgColor theme="1"/>
      </patternFill>
    </fill>
    <fill>
      <patternFill patternType="solid">
        <fgColor rgb="FFFFFF00"/>
        <bgColor indexed="64"/>
      </patternFill>
    </fill>
  </fills>
  <borders count="6">
    <border>
      <left/>
      <right/>
      <top/>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s>
  <cellStyleXfs count="3">
    <xf numFmtId="0" fontId="0" fillId="0" borderId="0"/>
    <xf numFmtId="44" fontId="1" fillId="0" borderId="0" applyFont="0" applyFill="0" applyBorder="0" applyAlignment="0" applyProtection="0"/>
    <xf numFmtId="0" fontId="13" fillId="0" borderId="0" applyNumberFormat="0" applyFill="0" applyBorder="0" applyAlignment="0" applyProtection="0"/>
  </cellStyleXfs>
  <cellXfs count="38">
    <xf numFmtId="0" fontId="0" fillId="0" borderId="0" xfId="0"/>
    <xf numFmtId="0" fontId="2" fillId="0" borderId="0" xfId="0" applyFont="1"/>
    <xf numFmtId="0" fontId="4" fillId="0" borderId="0" xfId="0" applyFont="1"/>
    <xf numFmtId="0" fontId="2" fillId="0" borderId="0" xfId="0" applyFont="1" applyAlignment="1">
      <alignment horizontal="right"/>
    </xf>
    <xf numFmtId="44" fontId="3" fillId="0" borderId="0" xfId="1" applyFont="1"/>
    <xf numFmtId="14" fontId="0" fillId="0" borderId="0" xfId="0" applyNumberFormat="1"/>
    <xf numFmtId="49" fontId="4" fillId="0" borderId="0" xfId="0" applyNumberFormat="1" applyFont="1" applyAlignment="1">
      <alignment horizontal="left"/>
    </xf>
    <xf numFmtId="49" fontId="0" fillId="0" borderId="0" xfId="0" applyNumberFormat="1" applyAlignment="1">
      <alignment horizontal="left"/>
    </xf>
    <xf numFmtId="49" fontId="2" fillId="0" borderId="0" xfId="0" applyNumberFormat="1" applyFont="1" applyAlignment="1">
      <alignment horizontal="left"/>
    </xf>
    <xf numFmtId="0" fontId="8" fillId="3" borderId="0" xfId="0" applyFont="1" applyFill="1"/>
    <xf numFmtId="14" fontId="8" fillId="3" borderId="0" xfId="0" applyNumberFormat="1" applyFont="1" applyFill="1"/>
    <xf numFmtId="44" fontId="0" fillId="0" borderId="0" xfId="1" applyFont="1"/>
    <xf numFmtId="1" fontId="0" fillId="0" borderId="0" xfId="0" applyNumberFormat="1"/>
    <xf numFmtId="0" fontId="7" fillId="3" borderId="0" xfId="0" applyFont="1" applyFill="1"/>
    <xf numFmtId="0" fontId="7" fillId="4" borderId="2" xfId="0" applyFont="1" applyFill="1" applyBorder="1"/>
    <xf numFmtId="0" fontId="0" fillId="5" borderId="0" xfId="0" applyFill="1"/>
    <xf numFmtId="0" fontId="11" fillId="0" borderId="0" xfId="0" applyFont="1"/>
    <xf numFmtId="0" fontId="12" fillId="0" borderId="0" xfId="0" applyFont="1"/>
    <xf numFmtId="0" fontId="7" fillId="4" borderId="1" xfId="0" applyFont="1" applyFill="1" applyBorder="1"/>
    <xf numFmtId="0" fontId="7" fillId="4" borderId="0" xfId="0" applyFont="1" applyFill="1"/>
    <xf numFmtId="164" fontId="0" fillId="0" borderId="0" xfId="0" applyNumberFormat="1"/>
    <xf numFmtId="0" fontId="7" fillId="4" borderId="3" xfId="0" applyFont="1" applyFill="1" applyBorder="1"/>
    <xf numFmtId="0" fontId="7" fillId="4" borderId="4" xfId="0" applyFont="1" applyFill="1" applyBorder="1"/>
    <xf numFmtId="0" fontId="7" fillId="4" borderId="5" xfId="0" applyFont="1" applyFill="1" applyBorder="1"/>
    <xf numFmtId="164" fontId="8" fillId="3" borderId="0" xfId="0" applyNumberFormat="1" applyFont="1" applyFill="1"/>
    <xf numFmtId="0" fontId="13" fillId="0" borderId="0" xfId="2"/>
    <xf numFmtId="49" fontId="0" fillId="0" borderId="0" xfId="0" applyNumberFormat="1"/>
    <xf numFmtId="0" fontId="8" fillId="3" borderId="0" xfId="0" applyFont="1" applyFill="1" applyAlignment="1">
      <alignment horizontal="left"/>
    </xf>
    <xf numFmtId="0" fontId="0" fillId="0" borderId="0" xfId="0" applyAlignment="1">
      <alignment wrapText="1"/>
    </xf>
    <xf numFmtId="0" fontId="14" fillId="0" borderId="0" xfId="0" applyFont="1"/>
    <xf numFmtId="0" fontId="15" fillId="0" borderId="0" xfId="0" applyFont="1"/>
    <xf numFmtId="49" fontId="16" fillId="0" borderId="0" xfId="0" applyNumberFormat="1" applyFont="1" applyAlignment="1">
      <alignment horizontal="left"/>
    </xf>
    <xf numFmtId="0" fontId="16" fillId="0" borderId="0" xfId="0" applyFont="1"/>
    <xf numFmtId="1" fontId="16" fillId="0" borderId="0" xfId="0" applyNumberFormat="1" applyFont="1"/>
    <xf numFmtId="0" fontId="14" fillId="0" borderId="0" xfId="0" applyFont="1" applyAlignment="1">
      <alignment wrapText="1"/>
    </xf>
    <xf numFmtId="0" fontId="7" fillId="2" borderId="0" xfId="0" applyFont="1" applyFill="1" applyAlignment="1">
      <alignment horizontal="center"/>
    </xf>
    <xf numFmtId="0" fontId="8" fillId="3" borderId="0" xfId="0" applyNumberFormat="1" applyFont="1" applyFill="1"/>
    <xf numFmtId="0" fontId="8" fillId="3" borderId="0" xfId="0" applyNumberFormat="1" applyFont="1" applyFill="1" applyAlignment="1">
      <alignment horizontal="left"/>
    </xf>
  </cellXfs>
  <cellStyles count="3">
    <cellStyle name="Currency" xfId="1" builtinId="4"/>
    <cellStyle name="Hyperlink" xfId="2" builtinId="8"/>
    <cellStyle name="Normal" xfId="0" builtinId="0"/>
  </cellStyles>
  <dxfs count="32">
    <dxf>
      <alignment horizontal="general" vertical="bottom" textRotation="0" wrapText="1" indent="0" justifyLastLine="0" shrinkToFit="0" readingOrder="0"/>
    </dxf>
    <dxf>
      <numFmt numFmtId="164" formatCode="yyyy/mm/dd;@"/>
    </dxf>
    <dxf>
      <border outline="0">
        <bottom style="thin">
          <color rgb="FF000000"/>
        </bottom>
      </border>
    </dxf>
    <dxf>
      <border outline="0">
        <top style="thin">
          <color rgb="FF000000"/>
        </top>
      </border>
    </dxf>
    <dxf>
      <font>
        <b/>
        <i val="0"/>
        <strike val="0"/>
        <condense val="0"/>
        <extend val="0"/>
        <outline val="0"/>
        <shadow val="0"/>
        <u val="none"/>
        <vertAlign val="baseline"/>
        <sz val="11"/>
        <color theme="0"/>
        <name val="Calibri"/>
        <family val="2"/>
        <scheme val="minor"/>
      </font>
      <fill>
        <patternFill patternType="solid">
          <fgColor theme="1"/>
          <bgColor theme="1"/>
        </patternFill>
      </fill>
    </dxf>
    <dxf>
      <numFmt numFmtId="0" formatCode="General"/>
    </dxf>
    <dxf>
      <numFmt numFmtId="164" formatCode="yyyy/mm/dd;@"/>
    </dxf>
    <dxf>
      <font>
        <b val="0"/>
        <i val="0"/>
        <strike val="0"/>
        <condense val="0"/>
        <extend val="0"/>
        <outline val="0"/>
        <shadow val="0"/>
        <u val="none"/>
        <vertAlign val="baseline"/>
        <sz val="11"/>
        <color theme="0"/>
        <name val="Calibri"/>
        <family val="2"/>
        <scheme val="minor"/>
      </font>
      <numFmt numFmtId="0" formatCode="General"/>
      <fill>
        <patternFill patternType="solid">
          <fgColor indexed="64"/>
          <bgColor theme="2" tint="-0.749992370372631"/>
        </patternFill>
      </fill>
    </dxf>
    <dxf>
      <font>
        <b val="0"/>
        <i val="0"/>
        <strike val="0"/>
        <condense val="0"/>
        <extend val="0"/>
        <outline val="0"/>
        <shadow val="0"/>
        <u val="none"/>
        <vertAlign val="baseline"/>
        <sz val="11"/>
        <color theme="0"/>
        <name val="Calibri"/>
        <family val="2"/>
        <scheme val="minor"/>
      </font>
      <numFmt numFmtId="0" formatCode="General"/>
      <fill>
        <patternFill patternType="solid">
          <fgColor indexed="64"/>
          <bgColor theme="2" tint="-0.749992370372631"/>
        </patternFill>
      </fill>
    </dxf>
    <dxf>
      <alignment horizontal="general" vertical="bottom" textRotation="0" wrapText="1"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2" tint="-0.749992370372631"/>
        </patternFill>
      </fill>
    </dxf>
    <dxf>
      <numFmt numFmtId="164" formatCode="yyyy/mm/dd;@"/>
    </dxf>
    <dxf>
      <border outline="0">
        <top style="thin">
          <color theme="1"/>
        </top>
      </border>
    </dxf>
    <dxf>
      <border outline="0">
        <bottom style="thin">
          <color theme="1"/>
        </bottom>
      </border>
    </dxf>
    <dxf>
      <font>
        <b/>
        <i val="0"/>
        <strike val="0"/>
        <condense val="0"/>
        <extend val="0"/>
        <outline val="0"/>
        <shadow val="0"/>
        <u val="none"/>
        <vertAlign val="baseline"/>
        <sz val="11"/>
        <color theme="0"/>
        <name val="Calibri"/>
        <family val="2"/>
        <scheme val="minor"/>
      </font>
      <fill>
        <patternFill patternType="solid">
          <fgColor theme="1"/>
          <bgColor theme="1"/>
        </patternFill>
      </fill>
    </dxf>
    <dxf>
      <font>
        <b/>
        <i val="0"/>
        <strike val="0"/>
        <condense val="0"/>
        <extend val="0"/>
        <outline val="0"/>
        <shadow val="0"/>
        <u val="none"/>
        <vertAlign val="baseline"/>
        <sz val="11"/>
        <color theme="0"/>
        <name val="Calibri"/>
        <family val="2"/>
        <scheme val="minor"/>
      </font>
      <fill>
        <patternFill patternType="solid">
          <fgColor theme="1"/>
          <bgColor theme="1"/>
        </patternFill>
      </fill>
    </dxf>
    <dxf>
      <font>
        <b val="0"/>
        <i val="0"/>
        <strike val="0"/>
        <condense val="0"/>
        <extend val="0"/>
        <outline val="0"/>
        <shadow val="0"/>
        <u val="none"/>
        <vertAlign val="baseline"/>
        <sz val="11"/>
        <color theme="0"/>
        <name val="Calibri"/>
        <family val="2"/>
        <scheme val="minor"/>
      </font>
      <fill>
        <patternFill patternType="solid">
          <fgColor indexed="64"/>
          <bgColor theme="2" tint="-0.749992370372631"/>
        </patternFill>
      </fill>
    </dxf>
    <dxf>
      <numFmt numFmtId="19" formatCode="yyyy/mm/dd"/>
    </dxf>
    <dxf>
      <font>
        <strike val="0"/>
        <outline val="0"/>
        <shadow val="0"/>
        <u val="none"/>
        <vertAlign val="baseline"/>
        <sz val="11"/>
        <color theme="0"/>
        <name val="Calibri"/>
        <family val="2"/>
        <scheme val="minor"/>
      </font>
      <numFmt numFmtId="0" formatCode="General"/>
      <fill>
        <patternFill patternType="solid">
          <fgColor indexed="64"/>
          <bgColor theme="2" tint="-0.749992370372631"/>
        </patternFill>
      </fill>
    </dxf>
    <dxf>
      <font>
        <strike val="0"/>
        <outline val="0"/>
        <shadow val="0"/>
        <u val="none"/>
        <vertAlign val="baseline"/>
        <sz val="11"/>
        <color theme="0"/>
        <name val="Calibri"/>
        <family val="2"/>
        <scheme val="minor"/>
      </font>
      <numFmt numFmtId="0" formatCode="General"/>
      <fill>
        <patternFill patternType="solid">
          <fgColor indexed="64"/>
          <bgColor theme="2" tint="-0.749992370372631"/>
        </patternFill>
      </fill>
    </dxf>
    <dxf>
      <font>
        <strike val="0"/>
        <outline val="0"/>
        <shadow val="0"/>
        <u val="none"/>
        <vertAlign val="baseline"/>
        <sz val="11"/>
        <color theme="0"/>
        <name val="Calibri"/>
        <family val="2"/>
        <scheme val="minor"/>
      </font>
      <numFmt numFmtId="0" formatCode="General"/>
      <fill>
        <patternFill patternType="solid">
          <fgColor indexed="64"/>
          <bgColor theme="2" tint="-0.749992370372631"/>
        </patternFill>
      </fill>
    </dxf>
    <dxf>
      <font>
        <strike val="0"/>
        <outline val="0"/>
        <shadow val="0"/>
        <u val="none"/>
        <vertAlign val="baseline"/>
        <sz val="11"/>
        <color theme="0"/>
        <name val="Calibri"/>
        <family val="2"/>
        <scheme val="minor"/>
      </font>
      <numFmt numFmtId="0" formatCode="General"/>
      <fill>
        <patternFill patternType="solid">
          <fgColor indexed="64"/>
          <bgColor theme="2" tint="-0.749992370372631"/>
        </patternFill>
      </fill>
      <alignment horizontal="left" vertical="bottom" textRotation="0" wrapText="0" indent="0" justifyLastLine="0" shrinkToFit="0" readingOrder="0"/>
    </dxf>
    <dxf>
      <font>
        <strike val="0"/>
        <outline val="0"/>
        <shadow val="0"/>
        <u val="none"/>
        <vertAlign val="baseline"/>
        <sz val="11"/>
        <color theme="0"/>
        <name val="Calibri"/>
        <family val="2"/>
        <scheme val="minor"/>
      </font>
      <numFmt numFmtId="0" formatCode="General"/>
      <fill>
        <patternFill patternType="solid">
          <fgColor indexed="64"/>
          <bgColor theme="2" tint="-0.749992370372631"/>
        </patternFill>
      </fill>
      <alignment horizontal="left" vertical="bottom" textRotation="0" wrapText="0" indent="0" justifyLastLine="0" shrinkToFit="0" readingOrder="0"/>
    </dxf>
    <dxf>
      <numFmt numFmtId="30" formatCode="@"/>
    </dxf>
    <dxf>
      <font>
        <strike val="0"/>
        <outline val="0"/>
        <shadow val="0"/>
        <u val="none"/>
        <vertAlign val="baseline"/>
        <sz val="11"/>
        <color theme="1" tint="0.499984740745262"/>
        <name val="Calibri"/>
        <family val="2"/>
        <scheme val="minor"/>
      </font>
    </dxf>
    <dxf>
      <font>
        <strike val="0"/>
        <outline val="0"/>
        <shadow val="0"/>
        <u val="none"/>
        <vertAlign val="baseline"/>
        <sz val="11"/>
        <color theme="0"/>
        <name val="Calibri"/>
        <family val="2"/>
        <scheme val="minor"/>
      </font>
      <fill>
        <patternFill patternType="solid">
          <fgColor indexed="64"/>
          <bgColor theme="2" tint="-0.749992370372631"/>
        </patternFill>
      </fill>
    </dxf>
    <dxf>
      <font>
        <strike val="0"/>
        <outline val="0"/>
        <shadow val="0"/>
        <u val="none"/>
        <vertAlign val="baseline"/>
        <sz val="11"/>
        <color theme="0"/>
        <name val="Calibri"/>
        <family val="2"/>
        <scheme val="minor"/>
      </font>
      <numFmt numFmtId="0" formatCode="General"/>
      <fill>
        <patternFill patternType="solid">
          <fgColor indexed="64"/>
          <bgColor theme="2" tint="-0.749992370372631"/>
        </patternFill>
      </fill>
    </dxf>
    <dxf>
      <font>
        <strike val="0"/>
        <outline val="0"/>
        <shadow val="0"/>
        <u val="none"/>
        <vertAlign val="baseline"/>
        <sz val="11"/>
        <color theme="0"/>
        <name val="Calibri"/>
        <family val="2"/>
        <scheme val="minor"/>
      </font>
      <numFmt numFmtId="0" formatCode="General"/>
      <fill>
        <patternFill patternType="solid">
          <fgColor indexed="64"/>
          <bgColor theme="2" tint="-0.749992370372631"/>
        </patternFill>
      </fill>
    </dxf>
    <dxf>
      <font>
        <color theme="0"/>
      </font>
      <numFmt numFmtId="19" formatCode="yyyy/mm/dd"/>
      <fill>
        <patternFill patternType="solid">
          <fgColor indexed="64"/>
          <bgColor theme="2" tint="-0.749992370372631"/>
        </patternFill>
      </fill>
    </dxf>
    <dxf>
      <font>
        <strike val="0"/>
        <outline val="0"/>
        <shadow val="0"/>
        <u val="none"/>
        <vertAlign val="baseline"/>
        <sz val="11"/>
        <color theme="0"/>
        <name val="Calibri"/>
        <family val="2"/>
        <scheme val="minor"/>
      </font>
      <fill>
        <patternFill patternType="solid">
          <fgColor indexed="64"/>
          <bgColor theme="2" tint="-0.749992370372631"/>
        </patternFill>
      </fill>
    </dxf>
    <dxf>
      <font>
        <strike val="0"/>
        <outline val="0"/>
        <shadow val="0"/>
        <u val="none"/>
        <vertAlign val="baseline"/>
        <sz val="11"/>
        <color theme="0"/>
        <name val="Calibri"/>
        <family val="2"/>
        <scheme val="minor"/>
      </font>
      <fill>
        <patternFill patternType="solid">
          <fgColor indexed="64"/>
          <bgColor theme="2" tint="-0.749992370372631"/>
        </patternFill>
      </fill>
    </dxf>
    <dxf>
      <numFmt numFmtId="30" formatCode="@"/>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171450</xdr:colOff>
      <xdr:row>5</xdr:row>
      <xdr:rowOff>85725</xdr:rowOff>
    </xdr:from>
    <xdr:to>
      <xdr:col>13</xdr:col>
      <xdr:colOff>477355</xdr:colOff>
      <xdr:row>31</xdr:row>
      <xdr:rowOff>181680</xdr:rowOff>
    </xdr:to>
    <xdr:pic>
      <xdr:nvPicPr>
        <xdr:cNvPr id="2" name="Picture 1">
          <a:extLst>
            <a:ext uri="{FF2B5EF4-FFF2-40B4-BE49-F238E27FC236}">
              <a16:creationId xmlns:a16="http://schemas.microsoft.com/office/drawing/2014/main" id="{4736DBE4-1437-70B8-978E-EB9CE0243270}"/>
            </a:ext>
          </a:extLst>
        </xdr:cNvPr>
        <xdr:cNvPicPr>
          <a:picLocks noChangeAspect="1"/>
        </xdr:cNvPicPr>
      </xdr:nvPicPr>
      <xdr:blipFill>
        <a:blip xmlns:r="http://schemas.openxmlformats.org/officeDocument/2006/relationships" r:embed="rId1"/>
        <a:stretch>
          <a:fillRect/>
        </a:stretch>
      </xdr:blipFill>
      <xdr:spPr>
        <a:xfrm>
          <a:off x="171450" y="1143000"/>
          <a:ext cx="7916380" cy="5048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647700</xdr:colOff>
      <xdr:row>5</xdr:row>
      <xdr:rowOff>19050</xdr:rowOff>
    </xdr:from>
    <xdr:to>
      <xdr:col>3</xdr:col>
      <xdr:colOff>4562475</xdr:colOff>
      <xdr:row>9</xdr:row>
      <xdr:rowOff>161925</xdr:rowOff>
    </xdr:to>
    <xdr:sp macro="" textlink="">
      <xdr:nvSpPr>
        <xdr:cNvPr id="2" name="TextBox 1">
          <a:extLst>
            <a:ext uri="{FF2B5EF4-FFF2-40B4-BE49-F238E27FC236}">
              <a16:creationId xmlns:a16="http://schemas.microsoft.com/office/drawing/2014/main" id="{AE30B916-912E-1BB6-AA07-BAFBACD49F3E}"/>
            </a:ext>
          </a:extLst>
        </xdr:cNvPr>
        <xdr:cNvSpPr txBox="1"/>
      </xdr:nvSpPr>
      <xdr:spPr>
        <a:xfrm>
          <a:off x="1866900" y="971550"/>
          <a:ext cx="5829300" cy="904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At</a:t>
          </a:r>
          <a:r>
            <a:rPr lang="en-CA" sz="1100" baseline="0"/>
            <a:t> this point this page really can't be used as a journal of things I did, or as a set of instructions to do the build; there is too much missing.</a:t>
          </a:r>
        </a:p>
        <a:p>
          <a:r>
            <a:rPr lang="en-CA" sz="1100"/>
            <a:t>I come here sometimes when I need to figure out what</a:t>
          </a:r>
          <a:r>
            <a:rPr lang="en-CA" sz="1100" baseline="0"/>
            <a:t> I ought to do next, or whenever I want to record a TODO item. This can be useful if I'm going to put the project on hold for a little while.</a:t>
          </a:r>
        </a:p>
        <a:p>
          <a:endParaRPr lang="en-CA" sz="1100"/>
        </a:p>
      </xdr:txBody>
    </xdr: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E8DD74-7F9E-45B4-BCF7-09991FA1E914}" name="Table2" displayName="Table2" ref="B12:O82" totalsRowShown="0">
  <autoFilter ref="B12:O82" xr:uid="{F9E8DD74-7F9E-45B4-BCF7-09991FA1E914}">
    <filterColumn colId="3">
      <filters>
        <filter val="PO"/>
      </filters>
    </filterColumn>
  </autoFilter>
  <tableColumns count="14">
    <tableColumn id="1" xr3:uid="{0CAFA450-2155-4E9E-ADE3-F4CD22C22C44}" name="Part #" dataDxfId="31"/>
    <tableColumn id="2" xr3:uid="{5A6B3099-B2D2-492E-977C-F7093079F747}" name="Part Name"/>
    <tableColumn id="3" xr3:uid="{51889221-B7E5-428B-85D7-A2E4B2BF7168}" name="Part Description"/>
    <tableColumn id="4" xr3:uid="{3BE74497-7023-4C24-991A-BBC410C53AFD}" name="Type"/>
    <tableColumn id="8" xr3:uid="{BB40717D-66DC-496C-A4A1-206E42444C65}" name="Active"/>
    <tableColumn id="5" xr3:uid="{F82B9AFB-29E2-4DCD-9700-6A759428541E}" name="QTY"/>
    <tableColumn id="6" xr3:uid="{E3D33A70-3FC7-4ACB-B725-F8380B7ABB08}" name="Version"/>
    <tableColumn id="10" xr3:uid="{C4197D18-343C-49DB-A64B-8FD83AC9279D}" name="Connected Parts"/>
    <tableColumn id="11" xr3:uid="{089A000F-ED58-4322-9A50-CB88674B6814}" name="Diagram"/>
    <tableColumn id="7" xr3:uid="{CADD4444-3580-4253-9939-7D1E9DAD7EAE}" name="PO"/>
    <tableColumn id="9" xr3:uid="{98111A1E-4647-4710-BF2A-9244DDE53645}" name="PO Status" dataDxfId="30"/>
    <tableColumn id="12" xr3:uid="{180667CA-143B-4BAF-944C-FAF505BF4B56}" name="Task #"/>
    <tableColumn id="14" xr3:uid="{31AA2F97-4A0F-4580-96E3-10FEBC009283}" name="Task Status" dataDxfId="29"/>
    <tableColumn id="13" xr3:uid="{B01A6271-20DE-4BCB-8704-CF92055D922A}" name="Same as"/>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078F7C2-4682-4E8E-9D0C-66C0374D0F3E}" name="Table1" displayName="Table1" ref="B12:N26" totalsRowShown="0">
  <autoFilter ref="B12:N26" xr:uid="{F078F7C2-4682-4E8E-9D0C-66C0374D0F3E}"/>
  <tableColumns count="13">
    <tableColumn id="1" xr3:uid="{FCF42234-79BC-4DCB-B12A-E0C63576E9B2}" name="Order #"/>
    <tableColumn id="2" xr3:uid="{D5B3EE52-23A5-4997-8220-425FC3216F39}" name="Name"/>
    <tableColumn id="3" xr3:uid="{FD7D31F1-6564-4A06-9CAC-5D127F0D6844}" name="Description"/>
    <tableColumn id="4" xr3:uid="{C786D2C9-CF78-4BC2-8362-48EA7B845324}" name="Vendor"/>
    <tableColumn id="6" xr3:uid="{7E9B1D8A-2AD0-443B-9478-48B2FD69E6F5}" name="Amount (CAD)" dataCellStyle="Currency"/>
    <tableColumn id="7" xr3:uid="{77E463C2-3843-42B3-973D-25EF3DCF124A}" name="Included/Cancelled"/>
    <tableColumn id="5" xr3:uid="{819ADDAB-4D5E-48C9-AA64-AABEFFA25353}" name="Status" dataDxfId="8">
      <calculatedColumnFormula>_xlfn.XLOOKUP(Table1[[#This Row],[Order '#]],Table3[PO],Table3[Status],"",0,-1)</calculatedColumnFormula>
    </tableColumn>
    <tableColumn id="8" xr3:uid="{C6CA50A0-F76E-4C29-9C2B-04FBA1EFFC11}" name="Last Updated" dataDxfId="28">
      <calculatedColumnFormula>_xlfn.XLOOKUP(Table1[[#This Row],[Order '#]],Table3[[#This Row],[PO]],Table3[[#This Row],[Date]],"",0,-1)</calculatedColumnFormula>
    </tableColumn>
    <tableColumn id="9" xr3:uid="{3AFF55D4-0A6C-477F-B4A5-37CC77BBD1F1}" name="Last Note" dataDxfId="27">
      <calculatedColumnFormula>_xlfn.XLOOKUP(Table1[[#This Row],[Order '#]],Table3[[#This Row],[PO]],Table3[[#This Row],[Note]],"",0,-1)</calculatedColumnFormula>
    </tableColumn>
    <tableColumn id="10" xr3:uid="{B56EE6FD-E935-4C47-B3F8-D5B4EFFC017D}" name="SO#"/>
    <tableColumn id="11" xr3:uid="{C1DED96B-2D57-45F8-916C-42271DE8FBD7}" name="PO#"/>
    <tableColumn id="12" xr3:uid="{972F6B5D-1ABC-4E53-8C3B-2C37A51DFF42}" name="QT#"/>
    <tableColumn id="13" xr3:uid="{CE08F5F9-84C7-46BA-891D-49FEC0291242}" name="IN#"/>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ACEC81B-C212-43C5-A022-039D094F3D46}" name="Table4" displayName="Table4" ref="B12:S28" totalsRowShown="0">
  <autoFilter ref="B12:S28" xr:uid="{6ACEC81B-C212-43C5-A022-039D094F3D46}"/>
  <sortState xmlns:xlrd2="http://schemas.microsoft.com/office/spreadsheetml/2017/richdata2" ref="B13:S28">
    <sortCondition ref="C12:C28"/>
  </sortState>
  <tableColumns count="18">
    <tableColumn id="1" xr3:uid="{7AE15AC8-6EBD-4A35-83F5-D775F653E06E}" name="POD#" dataDxfId="26">
      <calculatedColumnFormula>Table4[[#This Row],[PO '#]]&amp;"."&amp;Table4[[#This Row],[Line Num.]]</calculatedColumnFormula>
    </tableColumn>
    <tableColumn id="2" xr3:uid="{48BDA478-32CE-4750-B6A6-F627B0851E82}" name="PO #"/>
    <tableColumn id="3" xr3:uid="{033341AA-25AF-4C0B-BEE0-3A9129F581A2}" name="Order Name" dataDxfId="25">
      <calculatedColumnFormula>_xlfn.XLOOKUP(Table4[[#This Row],[PO '#]],Table1[Order '#],Table1[Name],"",0)</calculatedColumnFormula>
    </tableColumn>
    <tableColumn id="4" xr3:uid="{C54FA3FA-4522-4FED-B5BD-803BAC33B1B5}" name="Line Num."/>
    <tableColumn id="5" xr3:uid="{209EDE30-FCD7-440B-A335-920BDD3052AA}" name="Order Line Name" dataDxfId="24"/>
    <tableColumn id="6" xr3:uid="{4BD934A8-1FA0-4EBD-B143-3ED60C871CB3}" name="Part #" dataDxfId="23"/>
    <tableColumn id="7" xr3:uid="{791B3882-3581-4874-9500-DF735D41301B}" name="Part Name" dataDxfId="22">
      <calculatedColumnFormula>_xlfn.XLOOKUP(Table4[[#This Row],[Part '#]],Table2[Part '#],Table2[Part Name],"?",0)</calculatedColumnFormula>
    </tableColumn>
    <tableColumn id="8" xr3:uid="{7846D8DD-B0A8-4BEE-B656-E5C863E34091}" name="Part Desc" dataDxfId="21">
      <calculatedColumnFormula>_xlfn.XLOOKUP(Table4[[#This Row],[Part '#]],Table2[Part '#],Table2[Part Description],"?",0)</calculatedColumnFormula>
    </tableColumn>
    <tableColumn id="9" xr3:uid="{33827B7F-9B68-425D-9B8B-C7D467AC0E7C}" name="Part Ordering Req."/>
    <tableColumn id="10" xr3:uid="{906014BF-28BC-4DC9-B4CA-BF5A92B494AE}" name="Part Qty"/>
    <tableColumn id="11" xr3:uid="{78C3D6B4-66A1-4A45-9B35-C9A0B0427B6F}" name="Status" dataDxfId="20">
      <calculatedColumnFormula>_xlfn.XLOOKUP(Table4[[#This Row],[PO '#]],Table1[Order '#],Table1[Status],"",0)</calculatedColumnFormula>
    </tableColumn>
    <tableColumn id="12" xr3:uid="{588F0098-BB8B-4AA2-B6A5-75AA83EE0932}" name="Vendor" dataDxfId="19">
      <calculatedColumnFormula>_xlfn.XLOOKUP(Table4[[#This Row],[PO '#]],Table1[Order '#],Table1[Vendor],"",0)</calculatedColumnFormula>
    </tableColumn>
    <tableColumn id="13" xr3:uid="{4871110B-E713-4A8A-AA9E-3E4FF3C8B30B}" name="SKU"/>
    <tableColumn id="14" xr3:uid="{30265610-3E8A-4210-A77D-A9C6F9FE5106}" name="Link"/>
    <tableColumn id="15" xr3:uid="{F72082E3-424D-480D-AD27-1554115F11A7}" name="Price/ea"/>
    <tableColumn id="16" xr3:uid="{05D7DC06-0FD7-45DD-9B5E-A79AB052E116}" name="Order Qty"/>
    <tableColumn id="17" xr3:uid="{6C21D891-B65C-442C-8B6F-DB715F840500}" name="Subtotal (CAD)" dataDxfId="18">
      <calculatedColumnFormula>Table4[[#This Row],[Order Qty]]*Table4[[#This Row],[Price/ea]]</calculatedColumnFormula>
    </tableColumn>
    <tableColumn id="18" xr3:uid="{0BA8BBE1-EB86-461E-B54C-1BDA07511175}" name="Notes"/>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63BE107-2C53-427E-8C58-3BAEDE5D257F}" name="Table3" displayName="Table3" ref="B12:F26" totalsRowShown="0">
  <autoFilter ref="B12:F26" xr:uid="{C63BE107-2C53-427E-8C58-3BAEDE5D257F}"/>
  <tableColumns count="5">
    <tableColumn id="1" xr3:uid="{197548E7-8092-469B-B7E8-825921EB2BFE}" name="PO"/>
    <tableColumn id="2" xr3:uid="{A0E3AC79-9BB1-4BC5-BA73-DEA752886341}" name="Date" dataDxfId="17"/>
    <tableColumn id="3" xr3:uid="{89E2DC98-1B34-4533-809F-4A1F1260BDF6}" name="Status"/>
    <tableColumn id="4" xr3:uid="{0D0876C5-F002-4FA8-9979-D4A29E8F359F}" name="PO Name" dataDxfId="16">
      <calculatedColumnFormula>_xlfn.XLOOKUP(Table3[[#This Row],[PO]],Table1[Order '#],Table1[Name],"",0)</calculatedColumnFormula>
    </tableColumn>
    <tableColumn id="5" xr3:uid="{0B4DCCFA-9069-4332-8EC6-482BCE4F6A2C}" name="Note"/>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01FCC7-C06E-4A09-9A65-A8B58597DB8D}" name="Table5" displayName="Table5" ref="B12:H18" totalsRowShown="0" headerRowDxfId="15">
  <autoFilter ref="B12:H18" xr:uid="{8801FCC7-C06E-4A09-9A65-A8B58597DB8D}"/>
  <tableColumns count="7">
    <tableColumn id="1" xr3:uid="{F25F60A5-408A-464A-992C-2602453A1318}" name="Task #"/>
    <tableColumn id="2" xr3:uid="{8F00B41E-22E8-4563-B05F-E5FF54D24564}" name="Name"/>
    <tableColumn id="3" xr3:uid="{CB5AC669-C48E-480A-B7A7-B96FE7FA9903}" name="Description"/>
    <tableColumn id="5" xr3:uid="{5281F415-2B70-4238-A9B4-B57CC807A1BD}" name="Priority"/>
    <tableColumn id="4" xr3:uid="{BDB68E58-90D2-40F8-8FA3-EEEEB54ED49D}" name="Status" dataDxfId="7">
      <calculatedColumnFormula>_xlfn.XLOOKUP(Table5[[#This Row],[Task '#]],Table6[Task],Table6[Status],"",0, -1)</calculatedColumnFormula>
    </tableColumn>
    <tableColumn id="6" xr3:uid="{69851AD7-1AF9-4995-932E-31C6D9C3EDE9}" name="Last Updated" dataDxfId="6">
      <calculatedColumnFormula>_xlfn.XLOOKUP(Table5[[#This Row],[Task '#]],Table6[Task],Table6[Date],"",0, -1)</calculatedColumnFormula>
    </tableColumn>
    <tableColumn id="7" xr3:uid="{52D8039C-185A-4F00-841B-74248A678785}" name="Last Note" dataDxfId="5">
      <calculatedColumnFormula>_xlfn.XLOOKUP(Table5[[#This Row],[Task '#]],Table6[Task],Table6[Note],"",0, -1)</calculatedColumnFormula>
    </tableColumn>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BDB3C96-3EEC-4F13-B1C1-5915098A2AC9}" name="Table6" displayName="Table6" ref="B12:F21" totalsRowShown="0" headerRowDxfId="14" headerRowBorderDxfId="13" tableBorderDxfId="12">
  <autoFilter ref="B12:F21" xr:uid="{BBDB3C96-3EEC-4F13-B1C1-5915098A2AC9}"/>
  <tableColumns count="5">
    <tableColumn id="1" xr3:uid="{F6A0262D-92F5-47F5-9075-33D0495F73FE}" name="Task"/>
    <tableColumn id="2" xr3:uid="{F8D9C34F-1891-4947-A9F2-0DC6AB35D4C2}" name="Date" dataDxfId="11"/>
    <tableColumn id="3" xr3:uid="{E8D97A9D-5D7A-4ED2-9CA7-303E8E172EAC}" name="Status"/>
    <tableColumn id="4" xr3:uid="{9C2B8FC5-F903-4878-8C12-5C6E2F3B3C7B}" name="Task Name" dataDxfId="10">
      <calculatedColumnFormula>_xlfn.XLOOKUP(Table6[[#This Row],[Task]],Table5[Task '#],Table5[Name],"",0)</calculatedColumnFormula>
    </tableColumn>
    <tableColumn id="5" xr3:uid="{9776BBB3-8AEE-4FE9-A81E-55E1FDB50369}" name="Note" dataDxfId="9"/>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E588AD0-06F5-4067-B54D-F3C10CEB8304}" name="Table68" displayName="Table68" ref="B8:C17" totalsRowShown="0" headerRowDxfId="4" headerRowBorderDxfId="2" tableBorderDxfId="3">
  <autoFilter ref="B8:C17" xr:uid="{BBDB3C96-3EEC-4F13-B1C1-5915098A2AC9}"/>
  <tableColumns count="2">
    <tableColumn id="2" xr3:uid="{614F2A1C-862D-44F3-BB7C-FDEF7F4C80EE}" name="Date" dataDxfId="1"/>
    <tableColumn id="5" xr3:uid="{FC6529DC-B6B0-4CE5-9FA9-8A91423EAE86}" name="Note"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8" Type="http://schemas.openxmlformats.org/officeDocument/2006/relationships/hyperlink" Target="https://www.amazon.ca/dp/B0BW6QTRRX" TargetMode="External"/><Relationship Id="rId13" Type="http://schemas.openxmlformats.org/officeDocument/2006/relationships/hyperlink" Target="https://www.amazon.ca/dp/B0BYZ5NDJ2" TargetMode="External"/><Relationship Id="rId18" Type="http://schemas.openxmlformats.org/officeDocument/2006/relationships/comments" Target="../comments3.xml"/><Relationship Id="rId3" Type="http://schemas.openxmlformats.org/officeDocument/2006/relationships/hyperlink" Target="https://www.amazon.ca/dp/B0BZPN6CMX" TargetMode="External"/><Relationship Id="rId7" Type="http://schemas.openxmlformats.org/officeDocument/2006/relationships/hyperlink" Target="https://www.amazon.ca/dp/B0BLKPQ5NY" TargetMode="External"/><Relationship Id="rId12" Type="http://schemas.openxmlformats.org/officeDocument/2006/relationships/hyperlink" Target="https://www.amazon.ca/dp/B07C6W5TJ9" TargetMode="External"/><Relationship Id="rId17" Type="http://schemas.openxmlformats.org/officeDocument/2006/relationships/table" Target="../tables/table3.xml"/><Relationship Id="rId2" Type="http://schemas.openxmlformats.org/officeDocument/2006/relationships/hyperlink" Target="https://www.amazon.ca/dp/B00REGUVCA" TargetMode="External"/><Relationship Id="rId16" Type="http://schemas.openxmlformats.org/officeDocument/2006/relationships/vmlDrawing" Target="../drawings/vmlDrawing3.vml"/><Relationship Id="rId1" Type="http://schemas.openxmlformats.org/officeDocument/2006/relationships/hyperlink" Target="https://www.amazon.ca/dp/B0CS6VZYL8" TargetMode="External"/><Relationship Id="rId6" Type="http://schemas.openxmlformats.org/officeDocument/2006/relationships/hyperlink" Target="https://www.amazon.ca/Arduino-A000062-Due/dp/B00A6C3JN2" TargetMode="External"/><Relationship Id="rId11" Type="http://schemas.openxmlformats.org/officeDocument/2006/relationships/hyperlink" Target="https://www.amazon.ca/dp/B08CMNRXJ1" TargetMode="External"/><Relationship Id="rId5" Type="http://schemas.openxmlformats.org/officeDocument/2006/relationships/hyperlink" Target="https://www.amazon.ca/dp/B08WZFK9KT" TargetMode="External"/><Relationship Id="rId15" Type="http://schemas.openxmlformats.org/officeDocument/2006/relationships/hyperlink" Target="https://www.amazon.ca/dp/B07T9DWV4J" TargetMode="External"/><Relationship Id="rId10" Type="http://schemas.openxmlformats.org/officeDocument/2006/relationships/hyperlink" Target="https://www.amazon.ca/Arduino-A000062-Due/dp/B00A6C3JN2" TargetMode="External"/><Relationship Id="rId4" Type="http://schemas.openxmlformats.org/officeDocument/2006/relationships/hyperlink" Target="https://www.amazon.ca/dp/B0B8RKN89V" TargetMode="External"/><Relationship Id="rId9" Type="http://schemas.openxmlformats.org/officeDocument/2006/relationships/hyperlink" Target="https://www.amazon.ca/dp/B07SWX3P6T" TargetMode="External"/><Relationship Id="rId14" Type="http://schemas.openxmlformats.org/officeDocument/2006/relationships/hyperlink" Target="https://www.amazon.ca/dp/B0D1VJ9HHY"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F4A3A-5D71-4DFF-AA75-F1224C638E1F}">
  <sheetPr codeName="Sheet7"/>
  <dimension ref="B2:B5"/>
  <sheetViews>
    <sheetView workbookViewId="0"/>
  </sheetViews>
  <sheetFormatPr defaultRowHeight="15" x14ac:dyDescent="0.25"/>
  <cols>
    <col min="1" max="1" width="4.42578125" customWidth="1"/>
  </cols>
  <sheetData>
    <row r="2" spans="2:2" ht="23.25" x14ac:dyDescent="0.35">
      <c r="B2" s="2" t="s">
        <v>143</v>
      </c>
    </row>
    <row r="3" spans="2:2" x14ac:dyDescent="0.25">
      <c r="B3" t="s">
        <v>150</v>
      </c>
    </row>
    <row r="4" spans="2:2" x14ac:dyDescent="0.25">
      <c r="B4" t="s">
        <v>151</v>
      </c>
    </row>
    <row r="5" spans="2:2" x14ac:dyDescent="0.25">
      <c r="B5" t="s">
        <v>176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O82"/>
  <sheetViews>
    <sheetView workbookViewId="0">
      <selection activeCell="D8" sqref="D8"/>
    </sheetView>
  </sheetViews>
  <sheetFormatPr defaultRowHeight="15" x14ac:dyDescent="0.25"/>
  <cols>
    <col min="1" max="1" width="4.28515625" customWidth="1"/>
    <col min="2" max="2" width="9.140625" style="7"/>
    <col min="3" max="3" width="33" customWidth="1"/>
    <col min="4" max="4" width="24.28515625" customWidth="1"/>
    <col min="5" max="5" width="14.28515625" customWidth="1"/>
    <col min="6" max="6" width="8" customWidth="1"/>
    <col min="7" max="7" width="6.7109375" customWidth="1"/>
    <col min="8" max="8" width="6" hidden="1" customWidth="1"/>
    <col min="9" max="9" width="6.42578125" customWidth="1"/>
    <col min="10" max="10" width="7.42578125" customWidth="1"/>
    <col min="11" max="11" width="7.85546875" customWidth="1"/>
    <col min="12" max="12" width="9.140625" customWidth="1"/>
    <col min="13" max="13" width="8.7109375" customWidth="1"/>
    <col min="14" max="14" width="9.28515625" customWidth="1"/>
    <col min="15" max="15" width="9.42578125" customWidth="1"/>
  </cols>
  <sheetData>
    <row r="2" spans="2:15" x14ac:dyDescent="0.25">
      <c r="B2" s="7" t="s">
        <v>138</v>
      </c>
    </row>
    <row r="3" spans="2:15" x14ac:dyDescent="0.25">
      <c r="B3" s="7" t="s">
        <v>142</v>
      </c>
    </row>
    <row r="4" spans="2:15" x14ac:dyDescent="0.25">
      <c r="B4" s="7" t="s">
        <v>139</v>
      </c>
    </row>
    <row r="6" spans="2:15" x14ac:dyDescent="0.25">
      <c r="B6" s="7" t="s">
        <v>140</v>
      </c>
    </row>
    <row r="7" spans="2:15" x14ac:dyDescent="0.25">
      <c r="B7" s="7" t="s">
        <v>141</v>
      </c>
    </row>
    <row r="10" spans="2:15" ht="23.25" x14ac:dyDescent="0.35">
      <c r="B10" s="6" t="s">
        <v>34</v>
      </c>
    </row>
    <row r="11" spans="2:15" x14ac:dyDescent="0.25">
      <c r="K11" s="35" t="s">
        <v>122</v>
      </c>
      <c r="L11" s="35"/>
      <c r="M11" s="35"/>
      <c r="N11" s="35"/>
    </row>
    <row r="12" spans="2:15" x14ac:dyDescent="0.25">
      <c r="B12" s="7" t="s">
        <v>0</v>
      </c>
      <c r="C12" t="s">
        <v>2</v>
      </c>
      <c r="D12" t="s">
        <v>1</v>
      </c>
      <c r="E12" t="s">
        <v>30</v>
      </c>
      <c r="F12" t="s">
        <v>212</v>
      </c>
      <c r="G12" t="s">
        <v>29</v>
      </c>
      <c r="H12" t="s">
        <v>33</v>
      </c>
      <c r="I12" t="s">
        <v>64</v>
      </c>
      <c r="J12" t="s">
        <v>89</v>
      </c>
      <c r="K12" t="s">
        <v>65</v>
      </c>
      <c r="L12" t="s">
        <v>121</v>
      </c>
      <c r="M12" t="s">
        <v>215</v>
      </c>
      <c r="N12" t="s">
        <v>262</v>
      </c>
      <c r="O12" t="s">
        <v>285</v>
      </c>
    </row>
    <row r="13" spans="2:15" hidden="1" x14ac:dyDescent="0.25">
      <c r="B13" s="8" t="s">
        <v>90</v>
      </c>
      <c r="C13" s="1" t="s">
        <v>133</v>
      </c>
      <c r="D13" s="1" t="s">
        <v>31</v>
      </c>
      <c r="E13" s="1" t="s">
        <v>120</v>
      </c>
      <c r="F13" s="1">
        <v>1</v>
      </c>
      <c r="G13" s="1">
        <v>1</v>
      </c>
      <c r="H13" s="1" t="s">
        <v>62</v>
      </c>
      <c r="I13" s="1" t="s">
        <v>152</v>
      </c>
      <c r="J13" s="1" t="s">
        <v>153</v>
      </c>
      <c r="K13" s="1" t="s">
        <v>61</v>
      </c>
      <c r="L13" s="9" t="str">
        <f>IF(Table2[[#This Row],[PO]]="x","x",_xlfn.XLOOKUP(Table2[[#This Row],[PO]],Table1[Order '#],Table1[Status],"",0))</f>
        <v>x</v>
      </c>
      <c r="M13" s="1"/>
      <c r="N13" s="13"/>
    </row>
    <row r="14" spans="2:15" hidden="1" x14ac:dyDescent="0.25">
      <c r="B14" s="7" t="s">
        <v>134</v>
      </c>
      <c r="C14" s="17" t="s">
        <v>136</v>
      </c>
      <c r="D14" t="s">
        <v>177</v>
      </c>
      <c r="E14" t="s">
        <v>120</v>
      </c>
      <c r="F14">
        <v>1</v>
      </c>
      <c r="G14">
        <v>1</v>
      </c>
      <c r="K14" t="s">
        <v>61</v>
      </c>
      <c r="L14" s="9" t="str">
        <f>IF(Table2[[#This Row],[PO]]="x","x",_xlfn.XLOOKUP(Table2[[#This Row],[PO]],Table1[Order '#],Table1[Status],"",0))</f>
        <v>x</v>
      </c>
      <c r="N14" s="9"/>
    </row>
    <row r="15" spans="2:15" hidden="1" x14ac:dyDescent="0.25">
      <c r="B15" s="7" t="s">
        <v>135</v>
      </c>
      <c r="C15" t="s">
        <v>178</v>
      </c>
      <c r="E15" t="s">
        <v>32</v>
      </c>
      <c r="F15">
        <v>1</v>
      </c>
      <c r="G15" s="12">
        <v>1</v>
      </c>
      <c r="K15" t="s">
        <v>61</v>
      </c>
      <c r="L15" s="9" t="str">
        <f>IF(Table2[[#This Row],[PO]]="x","x",_xlfn.XLOOKUP(Table2[[#This Row],[PO]],Table1[Order '#],Table1[Status],"",0))</f>
        <v>x</v>
      </c>
      <c r="N15" s="9"/>
    </row>
    <row r="16" spans="2:15" hidden="1" x14ac:dyDescent="0.25">
      <c r="B16" s="7" t="s">
        <v>137</v>
      </c>
      <c r="C16" t="s">
        <v>179</v>
      </c>
      <c r="E16" t="s">
        <v>32</v>
      </c>
      <c r="F16">
        <v>1</v>
      </c>
      <c r="G16" s="12">
        <v>1</v>
      </c>
      <c r="K16" t="s">
        <v>61</v>
      </c>
      <c r="L16" s="9" t="str">
        <f>IF(Table2[[#This Row],[PO]]="x","x",_xlfn.XLOOKUP(Table2[[#This Row],[PO]],Table1[Order '#],Table1[Status],"",0))</f>
        <v>x</v>
      </c>
      <c r="N16" s="9"/>
    </row>
    <row r="17" spans="2:14" hidden="1" x14ac:dyDescent="0.25">
      <c r="B17" s="8" t="s">
        <v>91</v>
      </c>
      <c r="C17" s="1" t="s">
        <v>56</v>
      </c>
      <c r="E17" t="s">
        <v>120</v>
      </c>
      <c r="F17">
        <v>1</v>
      </c>
      <c r="G17" s="12">
        <v>1</v>
      </c>
      <c r="K17" t="s">
        <v>61</v>
      </c>
      <c r="L17" s="9" t="str">
        <f>IF(Table2[[#This Row],[PO]]="x","x",_xlfn.XLOOKUP(Table2[[#This Row],[PO]],Table1[Order '#],Table1[Status],"",0))</f>
        <v>x</v>
      </c>
      <c r="N17" s="9"/>
    </row>
    <row r="18" spans="2:14" hidden="1" x14ac:dyDescent="0.25">
      <c r="B18" s="7" t="s">
        <v>92</v>
      </c>
      <c r="C18" t="s">
        <v>109</v>
      </c>
      <c r="E18" t="s">
        <v>120</v>
      </c>
      <c r="F18">
        <v>1</v>
      </c>
      <c r="G18" s="12">
        <v>1</v>
      </c>
      <c r="K18" t="s">
        <v>61</v>
      </c>
      <c r="L18" s="9" t="str">
        <f>IF(Table2[[#This Row],[PO]]="x","x",_xlfn.XLOOKUP(Table2[[#This Row],[PO]],Table1[Order '#],Table1[Status],"",0))</f>
        <v>x</v>
      </c>
      <c r="N18" s="9"/>
    </row>
    <row r="19" spans="2:14" x14ac:dyDescent="0.25">
      <c r="B19" s="7" t="s">
        <v>111</v>
      </c>
      <c r="C19" t="s">
        <v>79</v>
      </c>
      <c r="D19" t="s">
        <v>293</v>
      </c>
      <c r="E19" t="s">
        <v>65</v>
      </c>
      <c r="F19">
        <v>1</v>
      </c>
      <c r="G19" s="12">
        <v>1</v>
      </c>
      <c r="K19" t="s">
        <v>174</v>
      </c>
      <c r="L19" s="9" t="str">
        <f>IF(Table2[[#This Row],[PO]]="x","x",_xlfn.XLOOKUP(Table2[[#This Row],[PO]],Table1[Order '#],Table1[Status],"",0))</f>
        <v>Received</v>
      </c>
      <c r="M19" t="s">
        <v>61</v>
      </c>
      <c r="N19" s="9" t="s">
        <v>61</v>
      </c>
    </row>
    <row r="20" spans="2:14" hidden="1" x14ac:dyDescent="0.25">
      <c r="B20" s="7" t="s">
        <v>110</v>
      </c>
      <c r="C20" s="16" t="s">
        <v>80</v>
      </c>
      <c r="E20" t="s">
        <v>32</v>
      </c>
      <c r="F20">
        <v>1</v>
      </c>
      <c r="G20" s="12">
        <v>1</v>
      </c>
      <c r="K20" t="s">
        <v>61</v>
      </c>
      <c r="L20" s="9" t="str">
        <f>IF(Table2[[#This Row],[PO]]="x","x",_xlfn.XLOOKUP(Table2[[#This Row],[PO]],Table1[Order '#],Table1[Status],"",0))</f>
        <v>x</v>
      </c>
      <c r="N20" s="9"/>
    </row>
    <row r="21" spans="2:14" hidden="1" x14ac:dyDescent="0.25">
      <c r="B21" s="7" t="s">
        <v>116</v>
      </c>
      <c r="C21" t="s">
        <v>119</v>
      </c>
      <c r="D21" t="s">
        <v>213</v>
      </c>
      <c r="E21" t="s">
        <v>120</v>
      </c>
      <c r="F21">
        <v>1</v>
      </c>
      <c r="G21" s="12">
        <v>1</v>
      </c>
      <c r="K21" t="s">
        <v>61</v>
      </c>
      <c r="L21" s="9" t="str">
        <f>IF(Table2[[#This Row],[PO]]="x","x",_xlfn.XLOOKUP(Table2[[#This Row],[PO]],Table1[Order '#],Table1[Status],"",0))</f>
        <v>x</v>
      </c>
      <c r="N21" s="9"/>
    </row>
    <row r="22" spans="2:14" hidden="1" x14ac:dyDescent="0.25">
      <c r="B22" s="7" t="s">
        <v>124</v>
      </c>
      <c r="C22" t="s">
        <v>125</v>
      </c>
      <c r="E22" t="s">
        <v>144</v>
      </c>
      <c r="F22">
        <v>1</v>
      </c>
      <c r="G22" s="12">
        <v>4</v>
      </c>
      <c r="L22" s="9" t="str">
        <f>IF(Table2[[#This Row],[PO]]="x","x",_xlfn.XLOOKUP(Table2[[#This Row],[PO]],Table1[Order '#],Table1[Status],"",0))</f>
        <v/>
      </c>
      <c r="N22" s="9"/>
    </row>
    <row r="23" spans="2:14" hidden="1" x14ac:dyDescent="0.25">
      <c r="B23" s="7" t="s">
        <v>127</v>
      </c>
      <c r="C23" t="s">
        <v>126</v>
      </c>
      <c r="E23" t="s">
        <v>144</v>
      </c>
      <c r="F23">
        <v>1</v>
      </c>
      <c r="G23" s="12">
        <v>4</v>
      </c>
      <c r="L23" s="9" t="str">
        <f>IF(Table2[[#This Row],[PO]]="x","x",_xlfn.XLOOKUP(Table2[[#This Row],[PO]],Table1[Order '#],Table1[Status],"",0))</f>
        <v/>
      </c>
      <c r="N23" s="9"/>
    </row>
    <row r="24" spans="2:14" hidden="1" x14ac:dyDescent="0.25">
      <c r="B24" s="7" t="s">
        <v>118</v>
      </c>
      <c r="C24" t="s">
        <v>130</v>
      </c>
      <c r="D24" t="s">
        <v>214</v>
      </c>
      <c r="E24" t="s">
        <v>120</v>
      </c>
      <c r="F24">
        <v>1</v>
      </c>
      <c r="G24" s="12">
        <v>4</v>
      </c>
      <c r="K24" t="s">
        <v>61</v>
      </c>
      <c r="L24" s="9" t="str">
        <f>IF(Table2[[#This Row],[PO]]="x","x",_xlfn.XLOOKUP(Table2[[#This Row],[PO]],Table1[Order '#],Table1[Status],"",0))</f>
        <v>x</v>
      </c>
      <c r="N24" s="9"/>
    </row>
    <row r="25" spans="2:14" hidden="1" x14ac:dyDescent="0.25">
      <c r="B25" s="7" t="s">
        <v>128</v>
      </c>
      <c r="C25" s="16" t="s">
        <v>129</v>
      </c>
      <c r="E25" t="s">
        <v>144</v>
      </c>
      <c r="F25">
        <v>1</v>
      </c>
      <c r="G25" s="12">
        <v>4</v>
      </c>
      <c r="L25" s="9" t="str">
        <f>IF(Table2[[#This Row],[PO]]="x","x",_xlfn.XLOOKUP(Table2[[#This Row],[PO]],Table1[Order '#],Table1[Status],"",0))</f>
        <v/>
      </c>
      <c r="N25" s="9"/>
    </row>
    <row r="26" spans="2:14" hidden="1" x14ac:dyDescent="0.25">
      <c r="B26" s="7" t="s">
        <v>131</v>
      </c>
      <c r="C26" t="s">
        <v>132</v>
      </c>
      <c r="E26" t="s">
        <v>144</v>
      </c>
      <c r="F26">
        <v>1</v>
      </c>
      <c r="G26" s="12">
        <v>4</v>
      </c>
      <c r="L26" s="9" t="str">
        <f>IF(Table2[[#This Row],[PO]]="x","x",_xlfn.XLOOKUP(Table2[[#This Row],[PO]],Table1[Order '#],Table1[Status],"",0))</f>
        <v/>
      </c>
      <c r="N26" s="9"/>
    </row>
    <row r="27" spans="2:14" x14ac:dyDescent="0.25">
      <c r="B27" s="7" t="s">
        <v>93</v>
      </c>
      <c r="C27" t="s">
        <v>82</v>
      </c>
      <c r="D27" t="s">
        <v>19</v>
      </c>
      <c r="E27" t="s">
        <v>65</v>
      </c>
      <c r="F27">
        <v>1</v>
      </c>
      <c r="G27" s="12">
        <v>1</v>
      </c>
      <c r="K27" t="s">
        <v>74</v>
      </c>
      <c r="L27" s="9" t="str">
        <f>IF(Table2[[#This Row],[PO]]="x","x",_xlfn.XLOOKUP(Table2[[#This Row],[PO]],Table1[Order '#],Table1[Status],"",0))</f>
        <v>Received</v>
      </c>
      <c r="N27" s="9"/>
    </row>
    <row r="28" spans="2:14" hidden="1" x14ac:dyDescent="0.25">
      <c r="B28" s="7" t="s">
        <v>94</v>
      </c>
      <c r="C28" t="s">
        <v>81</v>
      </c>
      <c r="E28" t="s">
        <v>32</v>
      </c>
      <c r="F28">
        <v>1</v>
      </c>
      <c r="G28" s="12">
        <v>1</v>
      </c>
      <c r="K28" t="s">
        <v>61</v>
      </c>
      <c r="L28" s="9" t="str">
        <f>IF(Table2[[#This Row],[PO]]="x","x",_xlfn.XLOOKUP(Table2[[#This Row],[PO]],Table1[Order '#],Table1[Status],"",0))</f>
        <v>x</v>
      </c>
      <c r="N28" s="9"/>
    </row>
    <row r="29" spans="2:14" hidden="1" x14ac:dyDescent="0.25">
      <c r="B29" s="31" t="s">
        <v>95</v>
      </c>
      <c r="C29" s="32" t="s">
        <v>83</v>
      </c>
      <c r="D29" s="32"/>
      <c r="E29" s="32" t="s">
        <v>144</v>
      </c>
      <c r="F29" s="32">
        <v>0</v>
      </c>
      <c r="G29" s="33">
        <v>1</v>
      </c>
      <c r="L29" s="9" t="str">
        <f>IF(Table2[[#This Row],[PO]]="x","x",_xlfn.XLOOKUP(Table2[[#This Row],[PO]],Table1[Order '#],Table1[Status],"",0))</f>
        <v/>
      </c>
      <c r="N29" s="9"/>
    </row>
    <row r="30" spans="2:14" hidden="1" x14ac:dyDescent="0.25">
      <c r="B30" s="31" t="s">
        <v>96</v>
      </c>
      <c r="C30" s="32" t="s">
        <v>84</v>
      </c>
      <c r="D30" s="32"/>
      <c r="E30" s="32" t="s">
        <v>144</v>
      </c>
      <c r="F30" s="32">
        <v>0</v>
      </c>
      <c r="G30" s="33">
        <v>1</v>
      </c>
      <c r="L30" s="9" t="str">
        <f>IF(Table2[[#This Row],[PO]]="x","x",_xlfn.XLOOKUP(Table2[[#This Row],[PO]],Table1[Order '#],Table1[Status],"",0))</f>
        <v/>
      </c>
      <c r="N30" s="9"/>
    </row>
    <row r="31" spans="2:14" hidden="1" x14ac:dyDescent="0.25">
      <c r="B31" s="31" t="s">
        <v>97</v>
      </c>
      <c r="C31" s="32" t="s">
        <v>113</v>
      </c>
      <c r="D31" s="32"/>
      <c r="E31" s="32" t="s">
        <v>120</v>
      </c>
      <c r="F31" s="32">
        <v>0</v>
      </c>
      <c r="G31" s="33">
        <v>1</v>
      </c>
      <c r="K31" t="s">
        <v>61</v>
      </c>
      <c r="L31" s="9" t="str">
        <f>IF(Table2[[#This Row],[PO]]="x","x",_xlfn.XLOOKUP(Table2[[#This Row],[PO]],Table1[Order '#],Table1[Status],"",0))</f>
        <v>x</v>
      </c>
      <c r="N31" s="9"/>
    </row>
    <row r="32" spans="2:14" x14ac:dyDescent="0.25">
      <c r="B32" s="31" t="s">
        <v>114</v>
      </c>
      <c r="C32" s="32" t="s">
        <v>86</v>
      </c>
      <c r="D32" s="32" t="s">
        <v>181</v>
      </c>
      <c r="E32" s="32" t="s">
        <v>65</v>
      </c>
      <c r="F32" s="32">
        <v>0</v>
      </c>
      <c r="G32" s="33">
        <v>1</v>
      </c>
      <c r="K32" t="s">
        <v>325</v>
      </c>
      <c r="L32" s="9" t="str">
        <f>IF(Table2[[#This Row],[PO]]="x","x",_xlfn.XLOOKUP(Table2[[#This Row],[PO]],Table1[Order '#],Table1[Status],"",0))</f>
        <v>Received</v>
      </c>
      <c r="N32" s="9"/>
    </row>
    <row r="33" spans="2:14" hidden="1" x14ac:dyDescent="0.25">
      <c r="B33" s="31" t="s">
        <v>112</v>
      </c>
      <c r="C33" s="32" t="s">
        <v>87</v>
      </c>
      <c r="D33" s="32"/>
      <c r="E33" s="32" t="s">
        <v>32</v>
      </c>
      <c r="F33" s="32">
        <v>0</v>
      </c>
      <c r="G33" s="33">
        <v>1</v>
      </c>
      <c r="K33" t="s">
        <v>61</v>
      </c>
      <c r="L33" s="9" t="str">
        <f>IF(Table2[[#This Row],[PO]]="x","x",_xlfn.XLOOKUP(Table2[[#This Row],[PO]],Table1[Order '#],Table1[Status],"",0))</f>
        <v>x</v>
      </c>
      <c r="N33" s="9"/>
    </row>
    <row r="34" spans="2:14" hidden="1" x14ac:dyDescent="0.25">
      <c r="B34" s="31" t="s">
        <v>115</v>
      </c>
      <c r="C34" s="32" t="s">
        <v>117</v>
      </c>
      <c r="D34" s="32"/>
      <c r="E34" s="32" t="s">
        <v>144</v>
      </c>
      <c r="F34" s="32">
        <v>0</v>
      </c>
      <c r="G34" s="33">
        <v>2</v>
      </c>
      <c r="L34" s="9" t="str">
        <f>IF(Table2[[#This Row],[PO]]="x","x",_xlfn.XLOOKUP(Table2[[#This Row],[PO]],Table1[Order '#],Table1[Status],"",0))</f>
        <v/>
      </c>
      <c r="N34" s="9"/>
    </row>
    <row r="35" spans="2:14" x14ac:dyDescent="0.25">
      <c r="B35" s="7" t="s">
        <v>98</v>
      </c>
      <c r="C35" t="s">
        <v>182</v>
      </c>
      <c r="D35" t="s">
        <v>268</v>
      </c>
      <c r="E35" t="s">
        <v>65</v>
      </c>
      <c r="F35">
        <v>1</v>
      </c>
      <c r="G35" s="12">
        <v>2</v>
      </c>
      <c r="K35" t="s">
        <v>74</v>
      </c>
      <c r="L35" s="9" t="str">
        <f>IF(Table2[[#This Row],[PO]]="x","x",_xlfn.XLOOKUP(Table2[[#This Row],[PO]],Table1[Order '#],Table1[Status],"",0))</f>
        <v>Received</v>
      </c>
      <c r="N35" s="9"/>
    </row>
    <row r="36" spans="2:14" x14ac:dyDescent="0.25">
      <c r="B36" s="7" t="s">
        <v>99</v>
      </c>
      <c r="C36" t="s">
        <v>85</v>
      </c>
      <c r="D36" t="s">
        <v>180</v>
      </c>
      <c r="E36" t="s">
        <v>65</v>
      </c>
      <c r="F36">
        <v>1</v>
      </c>
      <c r="G36" s="12">
        <v>1</v>
      </c>
      <c r="K36" t="s">
        <v>326</v>
      </c>
      <c r="L36" s="9" t="str">
        <f>IF(Table2[[#This Row],[PO]]="x","x",_xlfn.XLOOKUP(Table2[[#This Row],[PO]],Table1[Order '#],Table1[Status],"",0))</f>
        <v>Received</v>
      </c>
      <c r="N36" s="9"/>
    </row>
    <row r="37" spans="2:14" hidden="1" x14ac:dyDescent="0.25">
      <c r="B37" s="7" t="s">
        <v>100</v>
      </c>
      <c r="C37" t="s">
        <v>88</v>
      </c>
      <c r="E37" t="s">
        <v>32</v>
      </c>
      <c r="F37">
        <v>1</v>
      </c>
      <c r="G37" s="12">
        <v>1</v>
      </c>
      <c r="K37" t="s">
        <v>61</v>
      </c>
      <c r="L37" s="9" t="str">
        <f>IF(Table2[[#This Row],[PO]]="x","x",_xlfn.XLOOKUP(Table2[[#This Row],[PO]],Table1[Order '#],Table1[Status],"",0))</f>
        <v>x</v>
      </c>
      <c r="N37" s="9"/>
    </row>
    <row r="38" spans="2:14" hidden="1" x14ac:dyDescent="0.25">
      <c r="B38" s="7" t="s">
        <v>104</v>
      </c>
      <c r="C38" s="15" t="s">
        <v>155</v>
      </c>
      <c r="E38" t="s">
        <v>120</v>
      </c>
      <c r="F38">
        <v>1</v>
      </c>
      <c r="G38" s="12">
        <v>1</v>
      </c>
      <c r="K38" t="s">
        <v>61</v>
      </c>
      <c r="L38" s="9" t="str">
        <f>IF(Table2[[#This Row],[PO]]="x","x",_xlfn.XLOOKUP(Table2[[#This Row],[PO]],Table1[Order '#],Table1[Status],"",0))</f>
        <v>x</v>
      </c>
      <c r="N38" s="9"/>
    </row>
    <row r="39" spans="2:14" x14ac:dyDescent="0.25">
      <c r="B39" s="7" t="s">
        <v>108</v>
      </c>
      <c r="C39" s="15" t="s">
        <v>105</v>
      </c>
      <c r="E39" t="s">
        <v>65</v>
      </c>
      <c r="F39">
        <v>1</v>
      </c>
      <c r="G39" s="12">
        <v>1</v>
      </c>
      <c r="K39" t="s">
        <v>329</v>
      </c>
      <c r="L39" s="9" t="str">
        <f>IF(Table2[[#This Row],[PO]]="x","x",_xlfn.XLOOKUP(Table2[[#This Row],[PO]],Table1[Order '#],Table1[Status],"",0))</f>
        <v>Planning</v>
      </c>
      <c r="N39" s="9"/>
    </row>
    <row r="40" spans="2:14" hidden="1" x14ac:dyDescent="0.25">
      <c r="B40" s="7" t="s">
        <v>156</v>
      </c>
      <c r="C40" s="15" t="s">
        <v>154</v>
      </c>
      <c r="E40" t="s">
        <v>32</v>
      </c>
      <c r="F40">
        <v>1</v>
      </c>
      <c r="G40" s="12">
        <v>1</v>
      </c>
      <c r="K40" t="s">
        <v>61</v>
      </c>
      <c r="L40" s="9" t="str">
        <f>IF(Table2[[#This Row],[PO]]="x","x",_xlfn.XLOOKUP(Table2[[#This Row],[PO]],Table1[Order '#],Table1[Status],"",0))</f>
        <v>x</v>
      </c>
      <c r="N40" s="9"/>
    </row>
    <row r="41" spans="2:14" hidden="1" x14ac:dyDescent="0.25">
      <c r="B41" s="7" t="s">
        <v>106</v>
      </c>
      <c r="C41" s="15" t="s">
        <v>157</v>
      </c>
      <c r="E41" t="s">
        <v>120</v>
      </c>
      <c r="F41">
        <v>1</v>
      </c>
      <c r="G41" s="12">
        <v>1</v>
      </c>
      <c r="K41" t="s">
        <v>61</v>
      </c>
      <c r="L41" s="9" t="str">
        <f>IF(Table2[[#This Row],[PO]]="x","x",_xlfn.XLOOKUP(Table2[[#This Row],[PO]],Table1[Order '#],Table1[Status],"",0))</f>
        <v>x</v>
      </c>
      <c r="N41" s="9"/>
    </row>
    <row r="42" spans="2:14" x14ac:dyDescent="0.25">
      <c r="B42" s="7" t="s">
        <v>158</v>
      </c>
      <c r="C42" s="15" t="s">
        <v>107</v>
      </c>
      <c r="E42" t="s">
        <v>65</v>
      </c>
      <c r="F42">
        <v>1</v>
      </c>
      <c r="G42" s="12">
        <v>1</v>
      </c>
      <c r="K42" t="s">
        <v>329</v>
      </c>
      <c r="L42" s="9" t="str">
        <f>IF(Table2[[#This Row],[PO]]="x","x",_xlfn.XLOOKUP(Table2[[#This Row],[PO]],Table1[Order '#],Table1[Status],"",0))</f>
        <v>Planning</v>
      </c>
      <c r="N42" s="9"/>
    </row>
    <row r="43" spans="2:14" hidden="1" x14ac:dyDescent="0.25">
      <c r="B43" s="7" t="s">
        <v>159</v>
      </c>
      <c r="C43" s="15" t="s">
        <v>160</v>
      </c>
      <c r="E43" t="s">
        <v>32</v>
      </c>
      <c r="F43">
        <v>1</v>
      </c>
      <c r="G43" s="12">
        <v>1</v>
      </c>
      <c r="K43" t="s">
        <v>61</v>
      </c>
      <c r="L43" s="9" t="str">
        <f>IF(Table2[[#This Row],[PO]]="x","x",_xlfn.XLOOKUP(Table2[[#This Row],[PO]],Table1[Order '#],Table1[Status],"",0))</f>
        <v>x</v>
      </c>
      <c r="N43" s="9"/>
    </row>
    <row r="44" spans="2:14" hidden="1" x14ac:dyDescent="0.25">
      <c r="B44" s="8" t="s">
        <v>101</v>
      </c>
      <c r="C44" s="1" t="s">
        <v>57</v>
      </c>
      <c r="E44" t="s">
        <v>120</v>
      </c>
      <c r="F44">
        <v>1</v>
      </c>
      <c r="G44" s="12">
        <v>1</v>
      </c>
      <c r="K44" t="s">
        <v>61</v>
      </c>
      <c r="L44" s="9" t="str">
        <f>IF(Table2[[#This Row],[PO]]="x","x",_xlfn.XLOOKUP(Table2[[#This Row],[PO]],Table1[Order '#],Table1[Status],"",0))</f>
        <v>x</v>
      </c>
      <c r="N44" s="9"/>
    </row>
    <row r="45" spans="2:14" hidden="1" x14ac:dyDescent="0.25">
      <c r="B45" s="7" t="s">
        <v>102</v>
      </c>
      <c r="C45" t="s">
        <v>59</v>
      </c>
      <c r="D45" t="s">
        <v>60</v>
      </c>
      <c r="E45" t="s">
        <v>32</v>
      </c>
      <c r="F45">
        <v>1</v>
      </c>
      <c r="G45" s="12">
        <v>1</v>
      </c>
      <c r="K45" t="s">
        <v>61</v>
      </c>
      <c r="L45" s="9" t="str">
        <f>IF(Table2[[#This Row],[PO]]="x","x",_xlfn.XLOOKUP(Table2[[#This Row],[PO]],Table1[Order '#],Table1[Status],"",0))</f>
        <v>x</v>
      </c>
      <c r="N45" s="9"/>
    </row>
    <row r="46" spans="2:14" hidden="1" x14ac:dyDescent="0.25">
      <c r="B46" s="7" t="s">
        <v>161</v>
      </c>
      <c r="C46" t="s">
        <v>164</v>
      </c>
      <c r="E46" t="s">
        <v>144</v>
      </c>
      <c r="F46">
        <v>1</v>
      </c>
      <c r="G46">
        <v>8</v>
      </c>
      <c r="L46" s="9" t="str">
        <f>IF(Table2[[#This Row],[PO]]="x","x",_xlfn.XLOOKUP(Table2[[#This Row],[PO]],Table1[Order '#],Table1[Status],"",0))</f>
        <v/>
      </c>
      <c r="N46" s="9"/>
    </row>
    <row r="47" spans="2:14" hidden="1" x14ac:dyDescent="0.25">
      <c r="B47" s="7" t="s">
        <v>162</v>
      </c>
      <c r="C47" t="s">
        <v>165</v>
      </c>
      <c r="E47" t="s">
        <v>144</v>
      </c>
      <c r="F47">
        <v>1</v>
      </c>
      <c r="G47">
        <v>4</v>
      </c>
      <c r="L47" s="9" t="str">
        <f>IF(Table2[[#This Row],[PO]]="x","x",_xlfn.XLOOKUP(Table2[[#This Row],[PO]],Table1[Order '#],Table1[Status],"",0))</f>
        <v/>
      </c>
      <c r="N47" s="9"/>
    </row>
    <row r="48" spans="2:14" hidden="1" x14ac:dyDescent="0.25">
      <c r="B48" s="7" t="s">
        <v>163</v>
      </c>
      <c r="C48" t="s">
        <v>166</v>
      </c>
      <c r="E48" t="s">
        <v>144</v>
      </c>
      <c r="F48">
        <v>1</v>
      </c>
      <c r="G48">
        <v>4</v>
      </c>
      <c r="L48" s="9" t="str">
        <f>IF(Table2[[#This Row],[PO]]="x","x",_xlfn.XLOOKUP(Table2[[#This Row],[PO]],Table1[Order '#],Table1[Status],"",0))</f>
        <v/>
      </c>
      <c r="N48" s="9"/>
    </row>
    <row r="49" spans="2:14" hidden="1" x14ac:dyDescent="0.25">
      <c r="B49" s="7" t="s">
        <v>167</v>
      </c>
      <c r="C49" t="s">
        <v>173</v>
      </c>
      <c r="E49" t="s">
        <v>144</v>
      </c>
      <c r="F49">
        <v>1</v>
      </c>
      <c r="G49">
        <v>4</v>
      </c>
      <c r="L49" s="9" t="str">
        <f>IF(Table2[[#This Row],[PO]]="x","x",_xlfn.XLOOKUP(Table2[[#This Row],[PO]],Table1[Order '#],Table1[Status],"",0))</f>
        <v/>
      </c>
      <c r="N49" s="9"/>
    </row>
    <row r="50" spans="2:14" s="1" customFormat="1" hidden="1" x14ac:dyDescent="0.25">
      <c r="B50" s="8" t="s">
        <v>103</v>
      </c>
      <c r="C50" s="1" t="s">
        <v>169</v>
      </c>
      <c r="E50" s="1" t="s">
        <v>120</v>
      </c>
      <c r="F50" s="1">
        <v>1</v>
      </c>
      <c r="G50" s="1">
        <v>1</v>
      </c>
      <c r="K50" s="1" t="s">
        <v>61</v>
      </c>
      <c r="L50" s="9" t="str">
        <f>IF(Table2[[#This Row],[PO]]="x","x",_xlfn.XLOOKUP(Table2[[#This Row],[PO]],Table1[Order '#],Table1[Status],"",0))</f>
        <v>x</v>
      </c>
      <c r="N50" s="13"/>
    </row>
    <row r="51" spans="2:14" x14ac:dyDescent="0.25">
      <c r="B51" s="7" t="s">
        <v>123</v>
      </c>
      <c r="C51" t="s">
        <v>170</v>
      </c>
      <c r="E51" t="s">
        <v>65</v>
      </c>
      <c r="F51">
        <v>1</v>
      </c>
      <c r="G51">
        <v>1</v>
      </c>
      <c r="K51" t="s">
        <v>75</v>
      </c>
      <c r="L51" s="9" t="str">
        <f>IF(Table2[[#This Row],[PO]]="x","x",_xlfn.XLOOKUP(Table2[[#This Row],[PO]],Table1[Order '#],Table1[Status],"",0))</f>
        <v>Received</v>
      </c>
      <c r="N51" s="9"/>
    </row>
    <row r="52" spans="2:14" x14ac:dyDescent="0.25">
      <c r="B52" s="7" t="s">
        <v>171</v>
      </c>
      <c r="C52" t="s">
        <v>172</v>
      </c>
      <c r="E52" t="s">
        <v>65</v>
      </c>
      <c r="F52">
        <v>1</v>
      </c>
      <c r="G52">
        <v>1</v>
      </c>
      <c r="K52" t="s">
        <v>75</v>
      </c>
      <c r="L52" s="9" t="str">
        <f>IF(Table2[[#This Row],[PO]]="x","x",_xlfn.XLOOKUP(Table2[[#This Row],[PO]],Table1[Order '#],Table1[Status],"",0))</f>
        <v>Received</v>
      </c>
      <c r="N52" s="9"/>
    </row>
    <row r="53" spans="2:14" hidden="1" x14ac:dyDescent="0.25">
      <c r="B53" s="8" t="s">
        <v>168</v>
      </c>
      <c r="C53" s="1" t="s">
        <v>58</v>
      </c>
      <c r="D53" s="1"/>
      <c r="E53" s="1" t="s">
        <v>120</v>
      </c>
      <c r="F53" s="1">
        <v>1</v>
      </c>
      <c r="G53" s="1">
        <v>1</v>
      </c>
      <c r="H53" s="1"/>
      <c r="I53" s="1"/>
      <c r="J53" s="1"/>
      <c r="K53" s="1" t="s">
        <v>61</v>
      </c>
      <c r="L53" s="9" t="str">
        <f>IF(Table2[[#This Row],[PO]]="x","x",_xlfn.XLOOKUP(Table2[[#This Row],[PO]],Table1[Order '#],Table1[Status],"",0))</f>
        <v>x</v>
      </c>
      <c r="M53" s="1"/>
      <c r="N53" s="13"/>
    </row>
    <row r="54" spans="2:14" x14ac:dyDescent="0.25">
      <c r="B54" s="7" t="s">
        <v>183</v>
      </c>
      <c r="C54" t="s">
        <v>184</v>
      </c>
      <c r="D54" t="s">
        <v>185</v>
      </c>
      <c r="E54" t="s">
        <v>65</v>
      </c>
      <c r="F54">
        <v>1</v>
      </c>
      <c r="G54">
        <v>1</v>
      </c>
      <c r="K54" t="s">
        <v>331</v>
      </c>
      <c r="L54" s="9" t="str">
        <f>IF(Table2[[#This Row],[PO]]="x","x",_xlfn.XLOOKUP(Table2[[#This Row],[PO]],Table1[Order '#],Table1[Status],"",0))</f>
        <v>Received</v>
      </c>
      <c r="N54" s="9"/>
    </row>
    <row r="55" spans="2:14" x14ac:dyDescent="0.25">
      <c r="B55" s="7" t="s">
        <v>256</v>
      </c>
      <c r="C55" t="s">
        <v>257</v>
      </c>
      <c r="E55" t="s">
        <v>65</v>
      </c>
      <c r="F55">
        <v>1</v>
      </c>
      <c r="G55">
        <v>1</v>
      </c>
      <c r="K55" t="s">
        <v>252</v>
      </c>
      <c r="L55" s="9" t="str">
        <f>IF(Table2[[#This Row],[PO]]="x","x",_xlfn.XLOOKUP(Table2[[#This Row],[PO]],Table1[Order '#],Table1[Status],"",0))</f>
        <v>Paid</v>
      </c>
      <c r="N55" s="9"/>
    </row>
    <row r="56" spans="2:14" hidden="1" x14ac:dyDescent="0.25">
      <c r="B56" s="7" t="s">
        <v>288</v>
      </c>
      <c r="C56" t="s">
        <v>289</v>
      </c>
      <c r="E56" t="s">
        <v>32</v>
      </c>
      <c r="F56">
        <v>1</v>
      </c>
      <c r="G56">
        <v>1</v>
      </c>
      <c r="L56" s="9"/>
      <c r="N56" s="9"/>
    </row>
    <row r="57" spans="2:14" hidden="1" x14ac:dyDescent="0.25">
      <c r="B57" s="31" t="s">
        <v>186</v>
      </c>
      <c r="C57" s="32" t="s">
        <v>189</v>
      </c>
      <c r="D57" s="32" t="s">
        <v>210</v>
      </c>
      <c r="E57" s="32" t="s">
        <v>120</v>
      </c>
      <c r="F57" s="32">
        <v>0</v>
      </c>
      <c r="G57" s="32"/>
      <c r="H57" s="32"/>
      <c r="I57" s="32"/>
      <c r="J57" s="32"/>
      <c r="K57" s="32"/>
      <c r="L57" s="9"/>
      <c r="N57" s="9"/>
    </row>
    <row r="58" spans="2:14" hidden="1" x14ac:dyDescent="0.25">
      <c r="B58" s="31" t="s">
        <v>187</v>
      </c>
      <c r="C58" s="32" t="s">
        <v>203</v>
      </c>
      <c r="D58" s="32" t="s">
        <v>188</v>
      </c>
      <c r="E58" s="32"/>
      <c r="F58" s="32">
        <v>0</v>
      </c>
      <c r="G58" s="32"/>
      <c r="H58" s="32"/>
      <c r="I58" s="32"/>
      <c r="J58" s="32"/>
      <c r="K58" s="32"/>
      <c r="L58" s="9"/>
      <c r="N58" s="9"/>
    </row>
    <row r="59" spans="2:14" hidden="1" x14ac:dyDescent="0.25">
      <c r="B59" s="31" t="s">
        <v>190</v>
      </c>
      <c r="C59" s="32" t="s">
        <v>204</v>
      </c>
      <c r="D59" s="32" t="s">
        <v>191</v>
      </c>
      <c r="E59" s="32"/>
      <c r="F59" s="32">
        <v>0</v>
      </c>
      <c r="G59" s="32"/>
      <c r="H59" s="32"/>
      <c r="I59" s="32"/>
      <c r="J59" s="32"/>
      <c r="K59" s="32"/>
      <c r="L59" s="9"/>
      <c r="N59" s="9"/>
    </row>
    <row r="60" spans="2:14" hidden="1" x14ac:dyDescent="0.25">
      <c r="B60" s="31" t="s">
        <v>192</v>
      </c>
      <c r="C60" s="32" t="s">
        <v>205</v>
      </c>
      <c r="D60" s="32" t="s">
        <v>193</v>
      </c>
      <c r="E60" s="32"/>
      <c r="F60" s="32">
        <v>0</v>
      </c>
      <c r="G60" s="32"/>
      <c r="H60" s="32"/>
      <c r="I60" s="32"/>
      <c r="J60" s="32"/>
      <c r="K60" s="32"/>
      <c r="L60" s="9"/>
      <c r="N60" s="9"/>
    </row>
    <row r="61" spans="2:14" hidden="1" x14ac:dyDescent="0.25">
      <c r="B61" s="31" t="s">
        <v>195</v>
      </c>
      <c r="C61" s="32" t="s">
        <v>206</v>
      </c>
      <c r="D61" s="32" t="s">
        <v>194</v>
      </c>
      <c r="E61" s="32"/>
      <c r="F61" s="32">
        <v>0</v>
      </c>
      <c r="G61" s="32"/>
      <c r="H61" s="32"/>
      <c r="I61" s="32"/>
      <c r="J61" s="32"/>
      <c r="K61" s="32"/>
      <c r="L61" s="9"/>
      <c r="N61" s="9"/>
    </row>
    <row r="62" spans="2:14" hidden="1" x14ac:dyDescent="0.25">
      <c r="B62" s="31" t="s">
        <v>198</v>
      </c>
      <c r="C62" s="32" t="s">
        <v>207</v>
      </c>
      <c r="D62" s="32" t="s">
        <v>200</v>
      </c>
      <c r="E62" s="32"/>
      <c r="F62" s="32">
        <v>0</v>
      </c>
      <c r="G62" s="32"/>
      <c r="H62" s="32"/>
      <c r="I62" s="32"/>
      <c r="J62" s="32"/>
      <c r="K62" s="32"/>
      <c r="L62" s="9"/>
      <c r="N62" s="9"/>
    </row>
    <row r="63" spans="2:14" hidden="1" x14ac:dyDescent="0.25">
      <c r="B63" s="31" t="s">
        <v>197</v>
      </c>
      <c r="C63" s="32" t="s">
        <v>208</v>
      </c>
      <c r="D63" s="32" t="s">
        <v>199</v>
      </c>
      <c r="E63" s="32"/>
      <c r="F63" s="32">
        <v>0</v>
      </c>
      <c r="G63" s="32"/>
      <c r="H63" s="32"/>
      <c r="I63" s="32"/>
      <c r="J63" s="32"/>
      <c r="K63" s="32"/>
      <c r="L63" s="9"/>
      <c r="N63" s="9"/>
    </row>
    <row r="64" spans="2:14" hidden="1" x14ac:dyDescent="0.25">
      <c r="B64" s="31" t="s">
        <v>201</v>
      </c>
      <c r="C64" s="32" t="s">
        <v>202</v>
      </c>
      <c r="D64" s="32" t="s">
        <v>196</v>
      </c>
      <c r="E64" s="32"/>
      <c r="F64" s="32">
        <v>0</v>
      </c>
      <c r="G64" s="32"/>
      <c r="H64" s="32"/>
      <c r="I64" s="32"/>
      <c r="J64" s="32"/>
      <c r="K64" s="32"/>
      <c r="L64" s="9"/>
      <c r="N64" s="9"/>
    </row>
    <row r="65" spans="2:15" x14ac:dyDescent="0.25">
      <c r="B65" s="7" t="s">
        <v>209</v>
      </c>
      <c r="C65" t="s">
        <v>211</v>
      </c>
      <c r="E65" t="s">
        <v>65</v>
      </c>
      <c r="F65">
        <v>1</v>
      </c>
      <c r="G65">
        <v>1</v>
      </c>
      <c r="K65" t="s">
        <v>333</v>
      </c>
      <c r="L65" s="9" t="str">
        <f>IF(Table2[[#This Row],[PO]]="x","x",_xlfn.XLOOKUP(Table2[[#This Row],[PO]],Table1[Order '#],Table1[Status],"",0))</f>
        <v>Received</v>
      </c>
      <c r="N65" s="9"/>
    </row>
    <row r="66" spans="2:15" hidden="1" x14ac:dyDescent="0.25">
      <c r="B66" s="7" t="s">
        <v>279</v>
      </c>
      <c r="C66" t="s">
        <v>280</v>
      </c>
      <c r="E66" t="s">
        <v>32</v>
      </c>
      <c r="F66">
        <v>1</v>
      </c>
      <c r="G66">
        <v>1</v>
      </c>
      <c r="L66" s="9"/>
      <c r="N66" s="9"/>
    </row>
    <row r="67" spans="2:15" hidden="1" x14ac:dyDescent="0.25">
      <c r="B67" s="7" t="s">
        <v>286</v>
      </c>
      <c r="C67" t="s">
        <v>287</v>
      </c>
      <c r="E67" t="s">
        <v>32</v>
      </c>
      <c r="F67">
        <v>1</v>
      </c>
      <c r="G67">
        <v>2</v>
      </c>
      <c r="L67" s="9"/>
      <c r="N67" s="9"/>
    </row>
    <row r="68" spans="2:15" hidden="1" x14ac:dyDescent="0.25">
      <c r="B68" s="7" t="s">
        <v>264</v>
      </c>
      <c r="C68" t="s">
        <v>303</v>
      </c>
      <c r="E68" t="s">
        <v>120</v>
      </c>
      <c r="F68">
        <v>1</v>
      </c>
      <c r="G68">
        <v>1</v>
      </c>
      <c r="L68" s="9"/>
      <c r="N68" s="9"/>
    </row>
    <row r="69" spans="2:15" x14ac:dyDescent="0.25">
      <c r="B69" s="7" t="s">
        <v>265</v>
      </c>
      <c r="C69" t="s">
        <v>281</v>
      </c>
      <c r="D69" t="s">
        <v>284</v>
      </c>
      <c r="E69" t="s">
        <v>65</v>
      </c>
      <c r="F69">
        <v>1</v>
      </c>
      <c r="G69">
        <v>1</v>
      </c>
      <c r="K69" t="s">
        <v>334</v>
      </c>
      <c r="L69" s="9" t="str">
        <f>IF(Table2[[#This Row],[PO]]="x","x",_xlfn.XLOOKUP(Table2[[#This Row],[PO]],Table1[Order '#],Table1[Status],"",0))</f>
        <v>Received</v>
      </c>
      <c r="N69" s="9"/>
    </row>
    <row r="70" spans="2:15" x14ac:dyDescent="0.25">
      <c r="B70" s="7" t="s">
        <v>282</v>
      </c>
      <c r="C70" t="s">
        <v>283</v>
      </c>
      <c r="D70" t="s">
        <v>284</v>
      </c>
      <c r="E70" t="s">
        <v>65</v>
      </c>
      <c r="F70">
        <v>1</v>
      </c>
      <c r="G70">
        <v>1</v>
      </c>
      <c r="K70" t="s">
        <v>334</v>
      </c>
      <c r="L70" s="9" t="str">
        <f>IF(Table2[[#This Row],[PO]]="x","x",_xlfn.XLOOKUP(Table2[[#This Row],[PO]],Table1[Order '#],Table1[Status],"",0))</f>
        <v>Received</v>
      </c>
      <c r="N70" s="9"/>
      <c r="O70" t="s">
        <v>265</v>
      </c>
    </row>
    <row r="71" spans="2:15" x14ac:dyDescent="0.25">
      <c r="B71" s="7" t="s">
        <v>301</v>
      </c>
      <c r="C71" t="s">
        <v>266</v>
      </c>
      <c r="D71" t="s">
        <v>267</v>
      </c>
      <c r="E71" t="s">
        <v>65</v>
      </c>
      <c r="F71">
        <v>1</v>
      </c>
      <c r="G71">
        <v>1</v>
      </c>
      <c r="I71" t="s">
        <v>256</v>
      </c>
      <c r="K71" t="s">
        <v>253</v>
      </c>
      <c r="L71" s="9" t="str">
        <f>IF(Table2[[#This Row],[PO]]="x","x",_xlfn.XLOOKUP(Table2[[#This Row],[PO]],Table1[Order '#],Table1[Status],"",0))</f>
        <v>Paid</v>
      </c>
      <c r="N71" s="9"/>
    </row>
    <row r="72" spans="2:15" hidden="1" x14ac:dyDescent="0.25">
      <c r="B72" s="7" t="s">
        <v>290</v>
      </c>
      <c r="C72" t="s">
        <v>291</v>
      </c>
      <c r="D72" t="s">
        <v>302</v>
      </c>
      <c r="E72" t="s">
        <v>32</v>
      </c>
      <c r="F72">
        <v>1</v>
      </c>
      <c r="G72">
        <v>1</v>
      </c>
      <c r="L72" s="9"/>
      <c r="N72" s="9"/>
    </row>
    <row r="73" spans="2:15" hidden="1" x14ac:dyDescent="0.25">
      <c r="B73" s="7" t="s">
        <v>304</v>
      </c>
      <c r="C73" t="s">
        <v>305</v>
      </c>
      <c r="E73" t="s">
        <v>120</v>
      </c>
      <c r="F73">
        <v>1</v>
      </c>
      <c r="G73">
        <v>1</v>
      </c>
      <c r="L73" s="9"/>
      <c r="N73" s="9"/>
    </row>
    <row r="74" spans="2:15" hidden="1" x14ac:dyDescent="0.25">
      <c r="B74" s="7" t="s">
        <v>306</v>
      </c>
      <c r="C74" t="s">
        <v>309</v>
      </c>
      <c r="E74" t="s">
        <v>120</v>
      </c>
      <c r="F74">
        <v>1</v>
      </c>
      <c r="G74">
        <v>1</v>
      </c>
      <c r="L74" s="9"/>
      <c r="N74" s="9"/>
    </row>
    <row r="75" spans="2:15" x14ac:dyDescent="0.25">
      <c r="B75" s="7" t="s">
        <v>311</v>
      </c>
      <c r="C75" t="s">
        <v>312</v>
      </c>
      <c r="E75" t="s">
        <v>65</v>
      </c>
      <c r="F75">
        <v>1</v>
      </c>
      <c r="G75">
        <v>1</v>
      </c>
      <c r="L75" s="9" t="str">
        <f>IF(Table2[[#This Row],[PO]]="x","x",_xlfn.XLOOKUP(Table2[[#This Row],[PO]],Table1[Order '#],Table1[Status],"",0))</f>
        <v/>
      </c>
      <c r="N75" s="9"/>
    </row>
    <row r="76" spans="2:15" hidden="1" x14ac:dyDescent="0.25">
      <c r="B76" s="7" t="s">
        <v>310</v>
      </c>
      <c r="C76" t="s">
        <v>313</v>
      </c>
      <c r="E76" t="s">
        <v>32</v>
      </c>
      <c r="F76">
        <v>1</v>
      </c>
      <c r="G76">
        <v>1</v>
      </c>
      <c r="L76" s="9"/>
      <c r="N76" s="9"/>
    </row>
    <row r="77" spans="2:15" hidden="1" x14ac:dyDescent="0.25">
      <c r="B77" s="7" t="s">
        <v>314</v>
      </c>
      <c r="C77" t="s">
        <v>315</v>
      </c>
      <c r="E77" t="s">
        <v>32</v>
      </c>
      <c r="F77">
        <v>1</v>
      </c>
      <c r="G77">
        <v>1</v>
      </c>
      <c r="L77" s="9"/>
      <c r="N77" s="9"/>
    </row>
    <row r="78" spans="2:15" hidden="1" x14ac:dyDescent="0.25">
      <c r="B78" s="7" t="s">
        <v>316</v>
      </c>
      <c r="C78" t="s">
        <v>317</v>
      </c>
      <c r="D78" t="s">
        <v>318</v>
      </c>
      <c r="E78" t="s">
        <v>32</v>
      </c>
      <c r="F78">
        <v>1</v>
      </c>
      <c r="G78">
        <v>2</v>
      </c>
      <c r="L78" s="9"/>
      <c r="N78" s="9"/>
    </row>
    <row r="79" spans="2:15" hidden="1" x14ac:dyDescent="0.25">
      <c r="B79" s="7" t="s">
        <v>308</v>
      </c>
      <c r="C79" t="s">
        <v>319</v>
      </c>
      <c r="E79" t="s">
        <v>120</v>
      </c>
      <c r="F79">
        <v>1</v>
      </c>
      <c r="G79">
        <v>1</v>
      </c>
      <c r="L79" s="9"/>
      <c r="N79" s="9"/>
    </row>
    <row r="80" spans="2:15" x14ac:dyDescent="0.25">
      <c r="B80" s="7" t="s">
        <v>320</v>
      </c>
      <c r="C80" t="s">
        <v>307</v>
      </c>
      <c r="E80" t="s">
        <v>65</v>
      </c>
      <c r="F80">
        <v>1</v>
      </c>
      <c r="G80">
        <v>1</v>
      </c>
      <c r="L80" s="9" t="str">
        <f>IF(Table2[[#This Row],[PO]]="x","x",_xlfn.XLOOKUP(Table2[[#This Row],[PO]],Table1[Order '#],Table1[Status],"",0))</f>
        <v/>
      </c>
      <c r="N80" s="9"/>
    </row>
    <row r="81" spans="2:15" hidden="1" x14ac:dyDescent="0.25">
      <c r="B81" s="8" t="s">
        <v>298</v>
      </c>
      <c r="C81" s="1" t="s">
        <v>299</v>
      </c>
      <c r="D81" s="1" t="s">
        <v>300</v>
      </c>
      <c r="E81" s="1" t="s">
        <v>120</v>
      </c>
      <c r="F81" s="1">
        <v>1</v>
      </c>
      <c r="G81" s="1">
        <v>1</v>
      </c>
      <c r="H81" s="1"/>
      <c r="I81" s="1"/>
      <c r="J81" s="1"/>
      <c r="K81" s="1"/>
      <c r="L81" s="13"/>
      <c r="M81" s="1"/>
      <c r="N81" s="13"/>
      <c r="O81" s="1"/>
    </row>
    <row r="82" spans="2:15" hidden="1" x14ac:dyDescent="0.25">
      <c r="L82" s="9"/>
      <c r="N82" s="9"/>
    </row>
  </sheetData>
  <mergeCells count="1">
    <mergeCell ref="K11:N11"/>
  </mergeCells>
  <phoneticPr fontId="17" type="noConversion"/>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F361-8145-4BAC-8905-98812754C18C}">
  <sheetPr codeName="Sheet2"/>
  <dimension ref="B2:N26"/>
  <sheetViews>
    <sheetView workbookViewId="0">
      <selection activeCell="H18" sqref="H18"/>
    </sheetView>
  </sheetViews>
  <sheetFormatPr defaultRowHeight="15" x14ac:dyDescent="0.25"/>
  <cols>
    <col min="1" max="1" width="4.5703125" customWidth="1"/>
    <col min="2" max="2" width="10.5703125" customWidth="1"/>
    <col min="3" max="3" width="22.42578125" customWidth="1"/>
    <col min="4" max="4" width="42.7109375" customWidth="1"/>
    <col min="5" max="5" width="10.7109375" customWidth="1"/>
    <col min="6" max="6" width="12.140625" customWidth="1"/>
    <col min="7" max="7" width="15.85546875" customWidth="1"/>
    <col min="8" max="8" width="12" customWidth="1"/>
    <col min="9" max="9" width="14.85546875" customWidth="1"/>
    <col min="10" max="10" width="48.42578125" customWidth="1"/>
    <col min="11" max="11" width="9" customWidth="1"/>
  </cols>
  <sheetData>
    <row r="2" spans="2:14" x14ac:dyDescent="0.25">
      <c r="B2" t="s">
        <v>3</v>
      </c>
      <c r="I2" s="1" t="s">
        <v>21</v>
      </c>
    </row>
    <row r="3" spans="2:14" x14ac:dyDescent="0.25">
      <c r="B3" t="s">
        <v>4</v>
      </c>
      <c r="I3" t="s">
        <v>22</v>
      </c>
    </row>
    <row r="4" spans="2:14" x14ac:dyDescent="0.25">
      <c r="B4" t="s">
        <v>5</v>
      </c>
      <c r="I4" t="s">
        <v>23</v>
      </c>
    </row>
    <row r="5" spans="2:14" x14ac:dyDescent="0.25">
      <c r="B5" t="s">
        <v>6</v>
      </c>
      <c r="I5" t="s">
        <v>24</v>
      </c>
    </row>
    <row r="6" spans="2:14" x14ac:dyDescent="0.25">
      <c r="I6" t="s">
        <v>25</v>
      </c>
    </row>
    <row r="7" spans="2:14" x14ac:dyDescent="0.25">
      <c r="I7" t="s">
        <v>26</v>
      </c>
    </row>
    <row r="8" spans="2:14" x14ac:dyDescent="0.25">
      <c r="I8" t="s">
        <v>27</v>
      </c>
    </row>
    <row r="9" spans="2:14" x14ac:dyDescent="0.25">
      <c r="I9" t="s">
        <v>28</v>
      </c>
    </row>
    <row r="10" spans="2:14" ht="23.25" x14ac:dyDescent="0.35">
      <c r="B10" s="2" t="s">
        <v>63</v>
      </c>
      <c r="E10" s="3" t="s">
        <v>37</v>
      </c>
      <c r="F10" s="4">
        <f>SUM(Table1[Amount (CAD)])</f>
        <v>364.154</v>
      </c>
      <c r="G10" t="s">
        <v>149</v>
      </c>
    </row>
    <row r="11" spans="2:14" x14ac:dyDescent="0.25">
      <c r="K11" s="35" t="s">
        <v>148</v>
      </c>
      <c r="L11" s="35"/>
      <c r="M11" s="35"/>
      <c r="N11" s="35"/>
    </row>
    <row r="12" spans="2:14" x14ac:dyDescent="0.25">
      <c r="B12" t="s">
        <v>7</v>
      </c>
      <c r="C12" t="s">
        <v>8</v>
      </c>
      <c r="D12" t="s">
        <v>9</v>
      </c>
      <c r="E12" t="s">
        <v>10</v>
      </c>
      <c r="F12" t="s">
        <v>12</v>
      </c>
      <c r="G12" t="s">
        <v>39</v>
      </c>
      <c r="H12" t="s">
        <v>11</v>
      </c>
      <c r="I12" t="s">
        <v>17</v>
      </c>
      <c r="J12" t="s">
        <v>18</v>
      </c>
      <c r="K12" t="s">
        <v>13</v>
      </c>
      <c r="L12" t="s">
        <v>15</v>
      </c>
      <c r="M12" t="s">
        <v>14</v>
      </c>
      <c r="N12" t="s">
        <v>16</v>
      </c>
    </row>
    <row r="13" spans="2:14" x14ac:dyDescent="0.25">
      <c r="B13" t="s">
        <v>74</v>
      </c>
      <c r="C13" t="s">
        <v>353</v>
      </c>
      <c r="D13" t="s">
        <v>354</v>
      </c>
      <c r="E13" t="s">
        <v>20</v>
      </c>
      <c r="F13" s="11">
        <v>54.29</v>
      </c>
      <c r="G13" t="s">
        <v>40</v>
      </c>
      <c r="H13" s="9" t="str">
        <f>_xlfn.XLOOKUP(Table1[[#This Row],[Order '#]],Table3[PO],Table3[Status],"",0,-1)</f>
        <v>Received</v>
      </c>
      <c r="I13" s="10">
        <f>_xlfn.XLOOKUP(Table1[[#This Row],[Order '#]],Table3[[#This Row],[PO]],Table3[[#This Row],[Date]],"",0,-1)</f>
        <v>45964</v>
      </c>
      <c r="J13" s="9" t="str">
        <f>_xlfn.XLOOKUP(Table1[[#This Row],[Order '#]],Table3[[#This Row],[PO]],Table3[[#This Row],[Note]],"",0,-1)</f>
        <v>Order Received</v>
      </c>
    </row>
    <row r="14" spans="2:14" x14ac:dyDescent="0.25">
      <c r="B14" t="s">
        <v>75</v>
      </c>
      <c r="C14" t="s">
        <v>35</v>
      </c>
      <c r="D14" t="s">
        <v>36</v>
      </c>
      <c r="E14" t="s">
        <v>20</v>
      </c>
      <c r="F14" s="11">
        <f>17.98*1.12</f>
        <v>20.137600000000003</v>
      </c>
      <c r="G14" t="s">
        <v>40</v>
      </c>
      <c r="H14" s="9" t="str">
        <f>_xlfn.XLOOKUP(Table1[[#This Row],[Order '#]],Table3[PO],Table3[Status],"",0,-1)</f>
        <v>Received</v>
      </c>
      <c r="I14" s="10">
        <f>_xlfn.XLOOKUP(Table1[[#This Row],[Order '#]],Table3[[#This Row],[PO]],Table3[[#This Row],[Date]],"",0,-1)</f>
        <v>45961</v>
      </c>
      <c r="J14" s="9" t="str">
        <f>_xlfn.XLOOKUP(Table1[[#This Row],[Order '#]],Table3[[#This Row],[PO]],Table3[[#This Row],[Note]],"",0,-1)</f>
        <v>Order Received</v>
      </c>
    </row>
    <row r="15" spans="2:14" x14ac:dyDescent="0.25">
      <c r="B15" t="s">
        <v>174</v>
      </c>
      <c r="C15" t="s">
        <v>175</v>
      </c>
      <c r="D15" t="s">
        <v>356</v>
      </c>
      <c r="E15" t="s">
        <v>20</v>
      </c>
      <c r="F15" s="11">
        <v>20.149999999999999</v>
      </c>
      <c r="G15" t="s">
        <v>40</v>
      </c>
      <c r="H15" s="9" t="str">
        <f>_xlfn.XLOOKUP(Table1[[#This Row],[Order '#]],Table3[PO],Table3[Status],"",0,-1)</f>
        <v>Received</v>
      </c>
      <c r="I15" s="10">
        <f>_xlfn.XLOOKUP(Table1[[#This Row],[Order '#]],Table3[[#This Row],[PO]],Table3[[#This Row],[Date]],"",0,-1)</f>
        <v>45966</v>
      </c>
      <c r="J15" s="9" t="str">
        <f>_xlfn.XLOOKUP(Table1[[#This Row],[Order '#]],Table3[[#This Row],[PO]],Table3[[#This Row],[Note]],"",0,-1)</f>
        <v>Order Received</v>
      </c>
    </row>
    <row r="16" spans="2:14" x14ac:dyDescent="0.25">
      <c r="B16" t="s">
        <v>248</v>
      </c>
      <c r="C16" t="s">
        <v>249</v>
      </c>
      <c r="D16" t="s">
        <v>352</v>
      </c>
      <c r="E16" t="s">
        <v>20</v>
      </c>
      <c r="F16" s="11">
        <v>12.31</v>
      </c>
      <c r="G16" t="s">
        <v>40</v>
      </c>
      <c r="H16" s="9" t="str">
        <f>_xlfn.XLOOKUP(Table1[[#This Row],[Order '#]],Table3[PO],Table3[Status],"",0,-1)</f>
        <v>Paid</v>
      </c>
      <c r="I16" s="10">
        <f>_xlfn.XLOOKUP(Table1[[#This Row],[Order '#]],Table3[[#This Row],[PO]],Table3[[#This Row],[Date]],"",0,-1)</f>
        <v>45985</v>
      </c>
      <c r="J16" s="9" t="str">
        <f>_xlfn.XLOOKUP(Table1[[#This Row],[Order '#]],Table3[[#This Row],[PO]],Table3[[#This Row],[Note]],"",0,-1)</f>
        <v>Order placed</v>
      </c>
    </row>
    <row r="17" spans="2:10" x14ac:dyDescent="0.25">
      <c r="B17" t="s">
        <v>252</v>
      </c>
      <c r="C17" t="s">
        <v>250</v>
      </c>
      <c r="D17" t="s">
        <v>322</v>
      </c>
      <c r="E17" t="s">
        <v>20</v>
      </c>
      <c r="F17" s="11">
        <v>23.4</v>
      </c>
      <c r="G17" t="s">
        <v>40</v>
      </c>
      <c r="H17" s="9" t="str">
        <f>_xlfn.XLOOKUP(Table1[[#This Row],[Order '#]],Table3[PO],Table3[Status],"",0,-1)</f>
        <v>Paid</v>
      </c>
      <c r="I17" s="10">
        <f>_xlfn.XLOOKUP(Table1[[#This Row],[Order '#]],Table3[[#This Row],[PO]],Table3[[#This Row],[Date]],"",0,-1)</f>
        <v>45985</v>
      </c>
      <c r="J17" s="9" t="str">
        <f>_xlfn.XLOOKUP(Table1[[#This Row],[Order '#]],Table3[[#This Row],[PO]],Table3[[#This Row],[Note]],"",0,-1)</f>
        <v>Order placed</v>
      </c>
    </row>
    <row r="18" spans="2:10" x14ac:dyDescent="0.25">
      <c r="B18" t="s">
        <v>253</v>
      </c>
      <c r="C18" t="s">
        <v>251</v>
      </c>
      <c r="D18" t="s">
        <v>323</v>
      </c>
      <c r="E18" t="s">
        <v>20</v>
      </c>
      <c r="F18" s="11">
        <v>19.48</v>
      </c>
      <c r="G18" t="s">
        <v>40</v>
      </c>
      <c r="H18" s="9" t="str">
        <f>_xlfn.XLOOKUP(Table1[[#This Row],[Order '#]],Table3[PO],Table3[Status],"",0,-1)</f>
        <v>Paid</v>
      </c>
      <c r="I18" s="10">
        <f>_xlfn.XLOOKUP(Table1[[#This Row],[Order '#]],Table3[[#This Row],[PO]],Table3[[#This Row],[Date]],"",0,-1)</f>
        <v>45985</v>
      </c>
      <c r="J18" s="9" t="str">
        <f>_xlfn.XLOOKUP(Table1[[#This Row],[Order '#]],Table3[[#This Row],[PO]],Table3[[#This Row],[Note]],"",0,-1)</f>
        <v>Order placed</v>
      </c>
    </row>
    <row r="19" spans="2:10" x14ac:dyDescent="0.25">
      <c r="B19" t="s">
        <v>325</v>
      </c>
      <c r="C19" t="s">
        <v>324</v>
      </c>
      <c r="D19" t="s">
        <v>342</v>
      </c>
      <c r="E19" t="s">
        <v>20</v>
      </c>
      <c r="F19" s="11">
        <v>14.55</v>
      </c>
      <c r="G19" t="s">
        <v>328</v>
      </c>
      <c r="H19" s="9" t="str">
        <f>_xlfn.XLOOKUP(Table1[[#This Row],[Order '#]],Table3[PO],Table3[Status],"",0,-1)</f>
        <v>Received</v>
      </c>
      <c r="I19" s="10" t="str">
        <f>_xlfn.XLOOKUP(Table1[[#This Row],[Order '#]],Table3[[#This Row],[PO]],Table3[[#This Row],[Date]],"",0,-1)</f>
        <v/>
      </c>
      <c r="J19" s="9" t="str">
        <f>_xlfn.XLOOKUP(Table1[[#This Row],[Order '#]],Table3[[#This Row],[PO]],Table3[[#This Row],[Note]],"",0,-1)</f>
        <v/>
      </c>
    </row>
    <row r="20" spans="2:10" x14ac:dyDescent="0.25">
      <c r="B20" t="s">
        <v>326</v>
      </c>
      <c r="C20" t="s">
        <v>327</v>
      </c>
      <c r="D20" t="s">
        <v>341</v>
      </c>
      <c r="E20" t="s">
        <v>20</v>
      </c>
      <c r="F20" s="11">
        <v>17.8</v>
      </c>
      <c r="G20" t="s">
        <v>40</v>
      </c>
      <c r="H20" s="9" t="str">
        <f>_xlfn.XLOOKUP(Table1[[#This Row],[Order '#]],Table3[PO],Table3[Status],"",0,-1)</f>
        <v>Received</v>
      </c>
      <c r="I20" s="10" t="str">
        <f>_xlfn.XLOOKUP(Table1[[#This Row],[Order '#]],Table3[[#This Row],[PO]],Table3[[#This Row],[Date]],"",0,-1)</f>
        <v/>
      </c>
      <c r="J20" s="9" t="str">
        <f>_xlfn.XLOOKUP(Table1[[#This Row],[Order '#]],Table3[[#This Row],[PO]],Table3[[#This Row],[Note]],"",0,-1)</f>
        <v/>
      </c>
    </row>
    <row r="21" spans="2:10" x14ac:dyDescent="0.25">
      <c r="B21" t="s">
        <v>329</v>
      </c>
      <c r="C21" t="s">
        <v>330</v>
      </c>
      <c r="E21" t="s">
        <v>20</v>
      </c>
      <c r="F21" s="11">
        <f>12*1.12</f>
        <v>13.440000000000001</v>
      </c>
      <c r="G21" t="s">
        <v>40</v>
      </c>
      <c r="H21" s="9" t="str">
        <f>_xlfn.XLOOKUP(Table1[[#This Row],[Order '#]],Table3[PO],Table3[Status],"",0,-1)</f>
        <v>Planning</v>
      </c>
      <c r="I21" s="10" t="str">
        <f>_xlfn.XLOOKUP(Table1[[#This Row],[Order '#]],Table3[[#This Row],[PO]],Table3[[#This Row],[Date]],"",0,-1)</f>
        <v/>
      </c>
      <c r="J21" s="9" t="str">
        <f>_xlfn.XLOOKUP(Table1[[#This Row],[Order '#]],Table3[[#This Row],[PO]],Table3[[#This Row],[Note]],"",0,-1)</f>
        <v/>
      </c>
    </row>
    <row r="22" spans="2:10" x14ac:dyDescent="0.25">
      <c r="B22" t="s">
        <v>331</v>
      </c>
      <c r="C22" t="s">
        <v>185</v>
      </c>
      <c r="E22" t="s">
        <v>20</v>
      </c>
      <c r="F22" s="11">
        <f>60*1.12</f>
        <v>67.2</v>
      </c>
      <c r="G22" t="s">
        <v>40</v>
      </c>
      <c r="H22" s="36" t="str">
        <f>_xlfn.XLOOKUP(Table1[[#This Row],[Order '#]],Table3[PO],Table3[Status],"",0,-1)</f>
        <v>Received</v>
      </c>
      <c r="I22" s="10">
        <f>_xlfn.XLOOKUP(Table1[[#This Row],[Order '#]],Table3[[#This Row],[PO]],Table3[[#This Row],[Date]],"",0,-1)</f>
        <v>45292</v>
      </c>
      <c r="J22" s="36" t="str">
        <f>_xlfn.XLOOKUP(Table1[[#This Row],[Order '#]],Table3[[#This Row],[PO]],Table3[[#This Row],[Note]],"",0,-1)</f>
        <v>I've had this thing for ages, actually</v>
      </c>
    </row>
    <row r="23" spans="2:10" x14ac:dyDescent="0.25">
      <c r="B23" t="s">
        <v>333</v>
      </c>
      <c r="C23" t="s">
        <v>332</v>
      </c>
      <c r="D23" t="s">
        <v>340</v>
      </c>
      <c r="E23" t="s">
        <v>20</v>
      </c>
      <c r="F23" s="11">
        <f>21.99*1.12</f>
        <v>24.628800000000002</v>
      </c>
      <c r="G23" t="s">
        <v>40</v>
      </c>
      <c r="H23" s="36" t="str">
        <f>_xlfn.XLOOKUP(Table1[[#This Row],[Order '#]],Table3[PO],Table3[Status],"",0,-1)</f>
        <v>Received</v>
      </c>
      <c r="I23" s="10">
        <f>_xlfn.XLOOKUP(Table1[[#This Row],[Order '#]],Table3[[#This Row],[PO]],Table3[[#This Row],[Date]],"",0,-1)</f>
        <v>45495</v>
      </c>
      <c r="J23" s="36">
        <f>_xlfn.XLOOKUP(Table1[[#This Row],[Order '#]],Table3[[#This Row],[PO]],Table3[[#This Row],[Note]],"",0,-1)</f>
        <v>0</v>
      </c>
    </row>
    <row r="24" spans="2:10" x14ac:dyDescent="0.25">
      <c r="B24" t="s">
        <v>334</v>
      </c>
      <c r="C24" t="s">
        <v>348</v>
      </c>
      <c r="D24" t="s">
        <v>349</v>
      </c>
      <c r="E24" t="s">
        <v>20</v>
      </c>
      <c r="F24" s="11">
        <f>15.99*1.12</f>
        <v>17.908800000000003</v>
      </c>
      <c r="G24" t="s">
        <v>40</v>
      </c>
      <c r="H24" s="36" t="str">
        <f>_xlfn.XLOOKUP(Table1[[#This Row],[Order '#]],Table3[PO],Table3[Status],"",0,-1)</f>
        <v>Received</v>
      </c>
      <c r="I24" s="10">
        <f>_xlfn.XLOOKUP(Table1[[#This Row],[Order '#]],Table3[[#This Row],[PO]],Table3[[#This Row],[Date]],"",0,-1)</f>
        <v>45985</v>
      </c>
      <c r="J24" s="36">
        <f>_xlfn.XLOOKUP(Table1[[#This Row],[Order '#]],Table3[[#This Row],[PO]],Table3[[#This Row],[Note]],"",0,-1)</f>
        <v>0</v>
      </c>
    </row>
    <row r="25" spans="2:10" x14ac:dyDescent="0.25">
      <c r="B25" t="s">
        <v>336</v>
      </c>
      <c r="C25" t="s">
        <v>335</v>
      </c>
      <c r="D25" t="s">
        <v>340</v>
      </c>
      <c r="E25" t="s">
        <v>20</v>
      </c>
      <c r="F25" s="11">
        <v>43.19</v>
      </c>
      <c r="G25" t="s">
        <v>40</v>
      </c>
      <c r="H25" s="36" t="str">
        <f>_xlfn.XLOOKUP(Table1[[#This Row],[Order '#]],Table3[PO],Table3[Status],"",0,-1)</f>
        <v>Received</v>
      </c>
      <c r="I25" s="10">
        <f>_xlfn.XLOOKUP(Table1[[#This Row],[Order '#]],Table3[[#This Row],[PO]],Table3[[#This Row],[Date]],"",0,-1)</f>
        <v>46034</v>
      </c>
      <c r="J25" s="36" t="str">
        <f>_xlfn.XLOOKUP(Table1[[#This Row],[Order '#]],Table3[[#This Row],[PO]],Table3[[#This Row],[Note]],"",0,-1)</f>
        <v>Planned upgrade</v>
      </c>
    </row>
    <row r="26" spans="2:10" x14ac:dyDescent="0.25">
      <c r="B26" t="s">
        <v>338</v>
      </c>
      <c r="C26" t="s">
        <v>337</v>
      </c>
      <c r="D26" t="s">
        <v>339</v>
      </c>
      <c r="E26" t="s">
        <v>20</v>
      </c>
      <c r="F26" s="11">
        <f>13.99*1.12</f>
        <v>15.668800000000001</v>
      </c>
      <c r="G26" t="s">
        <v>40</v>
      </c>
      <c r="H26" s="36" t="str">
        <f>_xlfn.XLOOKUP(Table1[[#This Row],[Order '#]],Table3[PO],Table3[Status],"",0,-1)</f>
        <v>Received</v>
      </c>
      <c r="I26" s="10">
        <f>_xlfn.XLOOKUP(Table1[[#This Row],[Order '#]],Table3[[#This Row],[PO]],Table3[[#This Row],[Date]],"",0,-1)</f>
        <v>45292</v>
      </c>
      <c r="J26" s="36" t="str">
        <f>_xlfn.XLOOKUP(Table1[[#This Row],[Order '#]],Table3[[#This Row],[PO]],Table3[[#This Row],[Note]],"",0,-1)</f>
        <v>I've had these for ages</v>
      </c>
    </row>
  </sheetData>
  <mergeCells count="1">
    <mergeCell ref="K11:N11"/>
  </mergeCells>
  <dataValidations count="1">
    <dataValidation type="list" allowBlank="1" showInputMessage="1" sqref="H13:H26" xr:uid="{235F0E99-0015-4882-95DA-50A4C0930115}">
      <formula1>$I$3:$I$9</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37936-834F-4469-A4C5-DFA83AA97312}">
  <sheetPr codeName="Sheet3"/>
  <dimension ref="B2:S28"/>
  <sheetViews>
    <sheetView workbookViewId="0"/>
  </sheetViews>
  <sheetFormatPr defaultRowHeight="15" x14ac:dyDescent="0.25"/>
  <cols>
    <col min="1" max="1" width="3.42578125" customWidth="1"/>
    <col min="2" max="2" width="7.140625" customWidth="1"/>
    <col min="3" max="3" width="6" customWidth="1"/>
    <col min="4" max="4" width="24.7109375" customWidth="1"/>
    <col min="5" max="5" width="4.5703125" customWidth="1"/>
    <col min="6" max="6" width="7.5703125" customWidth="1"/>
    <col min="8" max="8" width="19.7109375" customWidth="1"/>
    <col min="9" max="9" width="17.140625" customWidth="1"/>
    <col min="10" max="10" width="7.28515625" customWidth="1"/>
    <col min="11" max="11" width="7.7109375" customWidth="1"/>
    <col min="12" max="12" width="5" customWidth="1"/>
    <col min="13" max="13" width="6" customWidth="1"/>
    <col min="14" max="14" width="5.7109375" customWidth="1"/>
    <col min="15" max="15" width="12.5703125" customWidth="1"/>
    <col min="16" max="16" width="10.5703125" customWidth="1"/>
    <col min="17" max="17" width="11.85546875" customWidth="1"/>
    <col min="18" max="18" width="16.140625" customWidth="1"/>
    <col min="19" max="19" width="14.7109375" customWidth="1"/>
  </cols>
  <sheetData>
    <row r="2" spans="2:19" x14ac:dyDescent="0.25">
      <c r="B2" t="s">
        <v>46</v>
      </c>
    </row>
    <row r="3" spans="2:19" x14ac:dyDescent="0.25">
      <c r="B3" t="s">
        <v>47</v>
      </c>
    </row>
    <row r="4" spans="2:19" x14ac:dyDescent="0.25">
      <c r="B4" t="s">
        <v>48</v>
      </c>
    </row>
    <row r="6" spans="2:19" x14ac:dyDescent="0.25">
      <c r="B6" t="s">
        <v>49</v>
      </c>
    </row>
    <row r="10" spans="2:19" ht="23.25" x14ac:dyDescent="0.35">
      <c r="B10" s="2" t="s">
        <v>146</v>
      </c>
    </row>
    <row r="11" spans="2:19" x14ac:dyDescent="0.25">
      <c r="P11" t="s">
        <v>67</v>
      </c>
    </row>
    <row r="12" spans="2:19" x14ac:dyDescent="0.25">
      <c r="B12" t="s">
        <v>77</v>
      </c>
      <c r="C12" t="s">
        <v>76</v>
      </c>
      <c r="D12" t="s">
        <v>41</v>
      </c>
      <c r="E12" t="s">
        <v>43</v>
      </c>
      <c r="F12" t="s">
        <v>42</v>
      </c>
      <c r="G12" t="s">
        <v>0</v>
      </c>
      <c r="H12" t="s">
        <v>2</v>
      </c>
      <c r="I12" t="s">
        <v>44</v>
      </c>
      <c r="J12" t="s">
        <v>45</v>
      </c>
      <c r="K12" t="s">
        <v>50</v>
      </c>
      <c r="L12" t="s">
        <v>11</v>
      </c>
      <c r="M12" t="s">
        <v>10</v>
      </c>
      <c r="N12" t="s">
        <v>51</v>
      </c>
      <c r="O12" t="s">
        <v>66</v>
      </c>
      <c r="P12" t="s">
        <v>52</v>
      </c>
      <c r="Q12" t="s">
        <v>55</v>
      </c>
      <c r="R12" t="s">
        <v>53</v>
      </c>
      <c r="S12" t="s">
        <v>54</v>
      </c>
    </row>
    <row r="13" spans="2:19" x14ac:dyDescent="0.25">
      <c r="B13" s="9" t="str">
        <f>Table4[[#This Row],[PO '#]]&amp;"."&amp;Table4[[#This Row],[Line Num.]]</f>
        <v>PO1.1</v>
      </c>
      <c r="C13" t="s">
        <v>74</v>
      </c>
      <c r="D13" s="9" t="str">
        <f>_xlfn.XLOOKUP(Table4[[#This Row],[PO '#]],Table1[Order '#],Table1[Name],"",0)</f>
        <v>T8 lead screws</v>
      </c>
      <c r="E13">
        <v>1</v>
      </c>
      <c r="F13" s="29" t="s">
        <v>78</v>
      </c>
      <c r="G13" s="26" t="s">
        <v>93</v>
      </c>
      <c r="H13" s="27" t="str">
        <f>_xlfn.XLOOKUP(Table4[[#This Row],[Part '#]],Table2[Part '#],Table2[Part Name],"?",0)</f>
        <v>Lead Screw</v>
      </c>
      <c r="I13" s="27" t="str">
        <f>_xlfn.XLOOKUP(Table4[[#This Row],[Part '#]],Table2[Part '#],Table2[Part Description],"?",0)</f>
        <v>T8 lead screw</v>
      </c>
      <c r="K13">
        <v>2</v>
      </c>
      <c r="L13" s="9" t="str">
        <f>_xlfn.XLOOKUP(Table4[[#This Row],[PO '#]],Table1[Order '#],Table1[Status],"",0)</f>
        <v>Received</v>
      </c>
      <c r="M13" s="9" t="str">
        <f>_xlfn.XLOOKUP(Table4[[#This Row],[PO '#]],Table1[Order '#],Table1[Vendor],"",0)</f>
        <v>Amazon</v>
      </c>
      <c r="N13" t="s">
        <v>38</v>
      </c>
      <c r="O13" s="25" t="s">
        <v>258</v>
      </c>
      <c r="P13">
        <v>25.63</v>
      </c>
      <c r="Q13">
        <v>1</v>
      </c>
      <c r="R13" s="9">
        <f>Table4[[#This Row],[Order Qty]]*Table4[[#This Row],[Price/ea]]</f>
        <v>25.63</v>
      </c>
    </row>
    <row r="14" spans="2:19" x14ac:dyDescent="0.25">
      <c r="B14" s="9" t="str">
        <f>Table4[[#This Row],[PO '#]]&amp;"."&amp;Table4[[#This Row],[Line Num.]]</f>
        <v>PO1.1</v>
      </c>
      <c r="C14" t="s">
        <v>74</v>
      </c>
      <c r="D14" s="9" t="str">
        <f>_xlfn.XLOOKUP(Table4[[#This Row],[PO '#]],Table1[Order '#],Table1[Name],"",0)</f>
        <v>T8 lead screws</v>
      </c>
      <c r="E14">
        <v>1</v>
      </c>
      <c r="F14" s="29" t="str">
        <f>F13</f>
        <v>2PCS 250mm（9.84 Inches）Tr8x8 Lead Screw with T8 Brass Nut (Acme Thread, 2mm Pitch, 4 Starts, 8mm Lead) for LCD DLP SLA 3D Printer Z Axis and CNC Machine</v>
      </c>
      <c r="G14" s="26" t="s">
        <v>98</v>
      </c>
      <c r="H14" s="27" t="str">
        <f>_xlfn.XLOOKUP(Table4[[#This Row],[Part '#]],Table2[Part '#],Table2[Part Name],"?",0)</f>
        <v>Lead Screw Nut</v>
      </c>
      <c r="I14" s="27" t="str">
        <f>_xlfn.XLOOKUP(Table4[[#This Row],[Part '#]],Table2[Part '#],Table2[Part Description],"?",0)</f>
        <v>T8 lead screw nuts (2 needed)</v>
      </c>
      <c r="K14">
        <v>2</v>
      </c>
      <c r="L14" s="9" t="str">
        <f>_xlfn.XLOOKUP(Table4[[#This Row],[PO '#]],Table1[Order '#],Table1[Status],"",0)</f>
        <v>Received</v>
      </c>
      <c r="M14" s="9" t="str">
        <f>_xlfn.XLOOKUP(Table4[[#This Row],[PO '#]],Table1[Order '#],Table1[Vendor],"",0)</f>
        <v>Amazon</v>
      </c>
      <c r="N14" t="str">
        <f>N13</f>
        <v>B0B8RKN89V</v>
      </c>
      <c r="O14" s="25" t="str">
        <f>O13</f>
        <v>https://www.amazon.ca/dp/B0B8RKN89V</v>
      </c>
      <c r="P14">
        <v>0</v>
      </c>
      <c r="Q14">
        <v>0</v>
      </c>
      <c r="R14" s="9">
        <f>Table4[[#This Row],[Order Qty]]*Table4[[#This Row],[Price/ea]]</f>
        <v>0</v>
      </c>
      <c r="S14" t="s">
        <v>263</v>
      </c>
    </row>
    <row r="15" spans="2:19" x14ac:dyDescent="0.25">
      <c r="B15" s="36" t="str">
        <f>Table4[[#This Row],[PO '#]]&amp;"."&amp;Table4[[#This Row],[Line Num.]]</f>
        <v>PO10.1</v>
      </c>
      <c r="C15" t="s">
        <v>331</v>
      </c>
      <c r="D15" s="9" t="str">
        <f>_xlfn.XLOOKUP(Table4[[#This Row],[PO '#]],Table1[Order '#],Table1[Name],"",0)</f>
        <v>Arduino Due</v>
      </c>
      <c r="E15">
        <v>1</v>
      </c>
      <c r="F15" s="29"/>
      <c r="G15" s="26" t="s">
        <v>256</v>
      </c>
      <c r="H15" s="37" t="str">
        <f>_xlfn.XLOOKUP(Table4[[#This Row],[Part '#]],Table2[Part '#],Table2[Part Name],"?",0)</f>
        <v>Double-row GPIO Headers Male</v>
      </c>
      <c r="I15" s="37">
        <f>_xlfn.XLOOKUP(Table4[[#This Row],[Part '#]],Table2[Part '#],Table2[Part Description],"?",0)</f>
        <v>0</v>
      </c>
      <c r="K15">
        <v>1</v>
      </c>
      <c r="L15" s="36" t="str">
        <f>_xlfn.XLOOKUP(Table4[[#This Row],[PO '#]],Table1[Order '#],Table1[Status],"",0)</f>
        <v>Received</v>
      </c>
      <c r="M15" s="36" t="str">
        <f>_xlfn.XLOOKUP(Table4[[#This Row],[PO '#]],Table1[Order '#],Table1[Vendor],"",0)</f>
        <v>Amazon</v>
      </c>
      <c r="O15" s="25" t="s">
        <v>343</v>
      </c>
      <c r="R15" s="36">
        <f>Table4[[#This Row],[Order Qty]]*Table4[[#This Row],[Price/ea]]</f>
        <v>0</v>
      </c>
    </row>
    <row r="16" spans="2:19" x14ac:dyDescent="0.25">
      <c r="B16" s="36" t="str">
        <f>Table4[[#This Row],[PO '#]]&amp;"."&amp;Table4[[#This Row],[Line Num.]]</f>
        <v>PO10.</v>
      </c>
      <c r="C16" t="s">
        <v>331</v>
      </c>
      <c r="D16" s="9" t="str">
        <f>_xlfn.XLOOKUP(Table4[[#This Row],[PO '#]],Table1[Order '#],Table1[Name],"",0)</f>
        <v>Arduino Due</v>
      </c>
      <c r="F16" s="29"/>
      <c r="G16" s="26"/>
      <c r="H16" s="37">
        <f>_xlfn.XLOOKUP(Table4[[#This Row],[Part '#]],Table2[Part '#],Table2[Part Name],"?",0)</f>
        <v>0</v>
      </c>
      <c r="I16" s="37">
        <f>_xlfn.XLOOKUP(Table4[[#This Row],[Part '#]],Table2[Part '#],Table2[Part Description],"?",0)</f>
        <v>0</v>
      </c>
      <c r="L16" s="36" t="str">
        <f>_xlfn.XLOOKUP(Table4[[#This Row],[PO '#]],Table1[Order '#],Table1[Status],"",0)</f>
        <v>Received</v>
      </c>
      <c r="M16" s="36" t="str">
        <f>_xlfn.XLOOKUP(Table4[[#This Row],[PO '#]],Table1[Order '#],Table1[Vendor],"",0)</f>
        <v>Amazon</v>
      </c>
      <c r="O16" s="25" t="s">
        <v>343</v>
      </c>
      <c r="R16" s="36">
        <f>Table4[[#This Row],[Order Qty]]*Table4[[#This Row],[Price/ea]]</f>
        <v>0</v>
      </c>
    </row>
    <row r="17" spans="2:19" ht="30" x14ac:dyDescent="0.25">
      <c r="B17" s="36" t="str">
        <f>Table4[[#This Row],[PO '#]]&amp;"."&amp;Table4[[#This Row],[Line Num.]]</f>
        <v>PO11.</v>
      </c>
      <c r="C17" t="s">
        <v>333</v>
      </c>
      <c r="D17" s="9" t="str">
        <f>_xlfn.XLOOKUP(Table4[[#This Row],[PO '#]],Table1[Order '#],Table1[Name],"",0)</f>
        <v>DRV8825 Drivers</v>
      </c>
      <c r="F17" s="29"/>
      <c r="G17" s="26"/>
      <c r="H17" s="37">
        <f>_xlfn.XLOOKUP(Table4[[#This Row],[Part '#]],Table2[Part '#],Table2[Part Name],"?",0)</f>
        <v>0</v>
      </c>
      <c r="I17" s="37">
        <f>_xlfn.XLOOKUP(Table4[[#This Row],[Part '#]],Table2[Part '#],Table2[Part Description],"?",0)</f>
        <v>0</v>
      </c>
      <c r="L17" s="36" t="str">
        <f>_xlfn.XLOOKUP(Table4[[#This Row],[PO '#]],Table1[Order '#],Table1[Status],"",0)</f>
        <v>Received</v>
      </c>
      <c r="M17" s="36" t="str">
        <f>_xlfn.XLOOKUP(Table4[[#This Row],[PO '#]],Table1[Order '#],Table1[Vendor],"",0)</f>
        <v>Amazon</v>
      </c>
      <c r="O17" s="25" t="s">
        <v>345</v>
      </c>
      <c r="R17" s="36">
        <f>Table4[[#This Row],[Order Qty]]*Table4[[#This Row],[Price/ea]]</f>
        <v>0</v>
      </c>
    </row>
    <row r="18" spans="2:19" x14ac:dyDescent="0.25">
      <c r="B18" s="36" t="str">
        <f>Table4[[#This Row],[PO '#]]&amp;"."&amp;Table4[[#This Row],[Line Num.]]</f>
        <v>PO12.</v>
      </c>
      <c r="C18" t="s">
        <v>334</v>
      </c>
      <c r="D18" s="9" t="str">
        <f>_xlfn.XLOOKUP(Table4[[#This Row],[PO '#]],Table1[Order '#],Table1[Name],"",0)</f>
        <v>Dupont headers</v>
      </c>
      <c r="F18" s="29"/>
      <c r="G18" s="26"/>
      <c r="H18" s="37">
        <f>_xlfn.XLOOKUP(Table4[[#This Row],[Part '#]],Table2[Part '#],Table2[Part Name],"?",0)</f>
        <v>0</v>
      </c>
      <c r="I18" s="37">
        <f>_xlfn.XLOOKUP(Table4[[#This Row],[Part '#]],Table2[Part '#],Table2[Part Description],"?",0)</f>
        <v>0</v>
      </c>
      <c r="L18" s="36" t="str">
        <f>_xlfn.XLOOKUP(Table4[[#This Row],[PO '#]],Table1[Order '#],Table1[Status],"",0)</f>
        <v>Received</v>
      </c>
      <c r="M18" s="36" t="str">
        <f>_xlfn.XLOOKUP(Table4[[#This Row],[PO '#]],Table1[Order '#],Table1[Vendor],"",0)</f>
        <v>Amazon</v>
      </c>
      <c r="O18" s="25" t="s">
        <v>350</v>
      </c>
      <c r="R18" s="36">
        <f>Table4[[#This Row],[Order Qty]]*Table4[[#This Row],[Price/ea]]</f>
        <v>0</v>
      </c>
    </row>
    <row r="19" spans="2:19" x14ac:dyDescent="0.25">
      <c r="B19" s="36" t="str">
        <f>Table4[[#This Row],[PO '#]]&amp;"."&amp;Table4[[#This Row],[Line Num.]]</f>
        <v>PO14.</v>
      </c>
      <c r="C19" t="s">
        <v>336</v>
      </c>
      <c r="D19" s="9" t="str">
        <f>_xlfn.XLOOKUP(Table4[[#This Row],[PO '#]],Table1[Order '#],Table1[Name],"",0)</f>
        <v>TMC2209 drivers</v>
      </c>
      <c r="F19" s="29"/>
      <c r="G19" s="26"/>
      <c r="H19" s="37">
        <f>_xlfn.XLOOKUP(Table4[[#This Row],[Part '#]],Table2[Part '#],Table2[Part Name],"?",0)</f>
        <v>0</v>
      </c>
      <c r="I19" s="37">
        <f>_xlfn.XLOOKUP(Table4[[#This Row],[Part '#]],Table2[Part '#],Table2[Part Description],"?",0)</f>
        <v>0</v>
      </c>
      <c r="L19" s="36" t="str">
        <f>_xlfn.XLOOKUP(Table4[[#This Row],[PO '#]],Table1[Order '#],Table1[Status],"",0)</f>
        <v>Received</v>
      </c>
      <c r="M19" s="36" t="str">
        <f>_xlfn.XLOOKUP(Table4[[#This Row],[PO '#]],Table1[Order '#],Table1[Vendor],"",0)</f>
        <v>Amazon</v>
      </c>
      <c r="O19" s="25" t="s">
        <v>344</v>
      </c>
      <c r="R19" s="36">
        <f>Table4[[#This Row],[Order Qty]]*Table4[[#This Row],[Price/ea]]</f>
        <v>0</v>
      </c>
    </row>
    <row r="20" spans="2:19" x14ac:dyDescent="0.25">
      <c r="B20" s="36" t="str">
        <f>Table4[[#This Row],[PO '#]]&amp;"."&amp;Table4[[#This Row],[Line Num.]]</f>
        <v>PO15.</v>
      </c>
      <c r="C20" t="s">
        <v>338</v>
      </c>
      <c r="D20" s="9" t="str">
        <f>_xlfn.XLOOKUP(Table4[[#This Row],[PO '#]],Table1[Order '#],Table1[Name],"",0)</f>
        <v>DB9 connectors</v>
      </c>
      <c r="F20" s="29"/>
      <c r="G20" s="26"/>
      <c r="H20" s="37">
        <f>_xlfn.XLOOKUP(Table4[[#This Row],[Part '#]],Table2[Part '#],Table2[Part Name],"?",0)</f>
        <v>0</v>
      </c>
      <c r="I20" s="37">
        <f>_xlfn.XLOOKUP(Table4[[#This Row],[Part '#]],Table2[Part '#],Table2[Part Description],"?",0)</f>
        <v>0</v>
      </c>
      <c r="L20" s="36" t="str">
        <f>_xlfn.XLOOKUP(Table4[[#This Row],[PO '#]],Table1[Order '#],Table1[Status],"",0)</f>
        <v>Received</v>
      </c>
      <c r="M20" s="36" t="str">
        <f>_xlfn.XLOOKUP(Table4[[#This Row],[PO '#]],Table1[Order '#],Table1[Vendor],"",0)</f>
        <v>Amazon</v>
      </c>
      <c r="O20" s="25" t="s">
        <v>351</v>
      </c>
      <c r="R20" s="36">
        <f>Table4[[#This Row],[Order Qty]]*Table4[[#This Row],[Price/ea]]</f>
        <v>0</v>
      </c>
    </row>
    <row r="21" spans="2:19" x14ac:dyDescent="0.25">
      <c r="B21" s="36" t="str">
        <f>Table4[[#This Row],[PO '#]]&amp;"."&amp;Table4[[#This Row],[Line Num.]]</f>
        <v>PO2.1</v>
      </c>
      <c r="C21" t="s">
        <v>75</v>
      </c>
      <c r="D21" s="9" t="str">
        <f>_xlfn.XLOOKUP(Table4[[#This Row],[PO '#]],Table1[Order '#],Table1[Name],"",0)</f>
        <v>Linear Rails</v>
      </c>
      <c r="E21">
        <v>1</v>
      </c>
      <c r="F21" s="29"/>
      <c r="G21" s="26"/>
      <c r="H21" s="37">
        <f>_xlfn.XLOOKUP(Table4[[#This Row],[Part '#]],Table2[Part '#],Table2[Part Name],"?",0)</f>
        <v>0</v>
      </c>
      <c r="I21" s="37">
        <f>_xlfn.XLOOKUP(Table4[[#This Row],[Part '#]],Table2[Part '#],Table2[Part Description],"?",0)</f>
        <v>0</v>
      </c>
      <c r="K21">
        <v>1</v>
      </c>
      <c r="L21" s="36" t="str">
        <f>_xlfn.XLOOKUP(Table4[[#This Row],[PO '#]],Table1[Order '#],Table1[Status],"",0)</f>
        <v>Received</v>
      </c>
      <c r="M21" s="36" t="str">
        <f>_xlfn.XLOOKUP(Table4[[#This Row],[PO '#]],Table1[Order '#],Table1[Vendor],"",0)</f>
        <v>Amazon</v>
      </c>
      <c r="O21" s="25" t="s">
        <v>355</v>
      </c>
      <c r="R21" s="36">
        <f>Table4[[#This Row],[Order Qty]]*Table4[[#This Row],[Price/ea]]</f>
        <v>0</v>
      </c>
    </row>
    <row r="22" spans="2:19" x14ac:dyDescent="0.25">
      <c r="B22" s="9" t="str">
        <f>Table4[[#This Row],[PO '#]]&amp;"."&amp;Table4[[#This Row],[Line Num.]]</f>
        <v>PO3.1</v>
      </c>
      <c r="C22" t="s">
        <v>174</v>
      </c>
      <c r="D22" s="9" t="str">
        <f>_xlfn.XLOOKUP(Table4[[#This Row],[PO '#]],Table1[Order '#],Table1[Name],"",0)</f>
        <v>Motors</v>
      </c>
      <c r="E22">
        <v>1</v>
      </c>
      <c r="F22" s="29" t="s">
        <v>292</v>
      </c>
      <c r="G22" s="26" t="s">
        <v>111</v>
      </c>
      <c r="H22" s="27" t="str">
        <f>_xlfn.XLOOKUP(Table4[[#This Row],[Part '#]],Table2[Part '#],Table2[Part Name],"?",0)</f>
        <v>Motor</v>
      </c>
      <c r="I22" s="27" t="str">
        <f>_xlfn.XLOOKUP(Table4[[#This Row],[Part '#]],Table2[Part '#],Table2[Part Description],"?",0)</f>
        <v>Bipolar stepper motor</v>
      </c>
      <c r="J22" t="s">
        <v>294</v>
      </c>
      <c r="K22">
        <v>2</v>
      </c>
      <c r="L22" s="9" t="str">
        <f>_xlfn.XLOOKUP(Table4[[#This Row],[PO '#]],Table1[Order '#],Table1[Status],"",0)</f>
        <v>Received</v>
      </c>
      <c r="M22" s="9" t="str">
        <f>_xlfn.XLOOKUP(Table4[[#This Row],[PO '#]],Table1[Order '#],Table1[Vendor],"",0)</f>
        <v>Amazon</v>
      </c>
      <c r="N22" t="s">
        <v>295</v>
      </c>
      <c r="O22" s="25" t="s">
        <v>296</v>
      </c>
      <c r="P22">
        <v>20.149999999999999</v>
      </c>
      <c r="Q22">
        <v>1</v>
      </c>
      <c r="R22" s="9">
        <f>Table4[[#This Row],[Order Qty]]*Table4[[#This Row],[Price/ea]]</f>
        <v>20.149999999999999</v>
      </c>
      <c r="S22" t="s">
        <v>297</v>
      </c>
    </row>
    <row r="23" spans="2:19" x14ac:dyDescent="0.25">
      <c r="B23" s="9" t="str">
        <f>Table4[[#This Row],[PO '#]]&amp;"."&amp;Table4[[#This Row],[Line Num.]]</f>
        <v>PO4.1</v>
      </c>
      <c r="C23" t="s">
        <v>248</v>
      </c>
      <c r="D23" s="9" t="str">
        <f>_xlfn.XLOOKUP(Table4[[#This Row],[PO '#]],Table1[Order '#],Table1[Name],"",0)</f>
        <v>M3 inserts</v>
      </c>
      <c r="E23">
        <v>1</v>
      </c>
      <c r="F23" s="29" t="s">
        <v>255</v>
      </c>
      <c r="G23" s="26" t="s">
        <v>61</v>
      </c>
      <c r="H23" s="27" t="str">
        <f>_xlfn.XLOOKUP(Table4[[#This Row],[Part '#]],Table2[Part '#],Table2[Part Name],"?",0)</f>
        <v>?</v>
      </c>
      <c r="I23" s="27" t="str">
        <f>_xlfn.XLOOKUP(Table4[[#This Row],[Part '#]],Table2[Part '#],Table2[Part Description],"?",0)</f>
        <v>?</v>
      </c>
      <c r="K23">
        <v>100</v>
      </c>
      <c r="L23" s="9" t="str">
        <f>_xlfn.XLOOKUP(Table4[[#This Row],[PO '#]],Table1[Order '#],Table1[Status],"",0)</f>
        <v>Paid</v>
      </c>
      <c r="M23" s="9" t="str">
        <f>_xlfn.XLOOKUP(Table4[[#This Row],[PO '#]],Table1[Order '#],Table1[Vendor],"",0)</f>
        <v>Amazon</v>
      </c>
      <c r="O23" s="25" t="s">
        <v>259</v>
      </c>
      <c r="P23">
        <v>10.99</v>
      </c>
      <c r="Q23">
        <v>1</v>
      </c>
      <c r="R23" s="9">
        <f>Table4[[#This Row],[Order Qty]]*Table4[[#This Row],[Price/ea]]</f>
        <v>10.99</v>
      </c>
    </row>
    <row r="24" spans="2:19" x14ac:dyDescent="0.25">
      <c r="B24" s="9" t="str">
        <f>Table4[[#This Row],[PO '#]]&amp;"."&amp;Table4[[#This Row],[Line Num.]]</f>
        <v>PO5.1</v>
      </c>
      <c r="C24" t="s">
        <v>252</v>
      </c>
      <c r="D24" s="9" t="str">
        <f>_xlfn.XLOOKUP(Table4[[#This Row],[PO '#]],Table1[Order '#],Table1[Name],"",0)</f>
        <v>Due Headers M</v>
      </c>
      <c r="E24">
        <v>1</v>
      </c>
      <c r="F24" s="34" t="s">
        <v>321</v>
      </c>
      <c r="G24" s="26" t="s">
        <v>256</v>
      </c>
      <c r="H24" s="27" t="str">
        <f>_xlfn.XLOOKUP(Table4[[#This Row],[Part '#]],Table2[Part '#],Table2[Part Name],"?",0)</f>
        <v>Double-row GPIO Headers Male</v>
      </c>
      <c r="I24" s="27">
        <f>_xlfn.XLOOKUP(Table4[[#This Row],[Part '#]],Table2[Part '#],Table2[Part Description],"?",0)</f>
        <v>0</v>
      </c>
      <c r="K24">
        <v>25</v>
      </c>
      <c r="L24" s="9" t="str">
        <f>_xlfn.XLOOKUP(Table4[[#This Row],[PO '#]],Table1[Order '#],Table1[Status],"",0)</f>
        <v>Paid</v>
      </c>
      <c r="M24" s="9" t="str">
        <f>_xlfn.XLOOKUP(Table4[[#This Row],[PO '#]],Table1[Order '#],Table1[Vendor],"",0)</f>
        <v>Amazon</v>
      </c>
      <c r="O24" s="25" t="s">
        <v>260</v>
      </c>
      <c r="P24">
        <v>20.89</v>
      </c>
      <c r="Q24">
        <v>1</v>
      </c>
      <c r="R24" s="9">
        <f>Table4[[#This Row],[Order Qty]]*Table4[[#This Row],[Price/ea]]</f>
        <v>20.89</v>
      </c>
    </row>
    <row r="25" spans="2:19" x14ac:dyDescent="0.25">
      <c r="B25" s="9" t="str">
        <f>Table4[[#This Row],[PO '#]]&amp;"."&amp;Table4[[#This Row],[Line Num.]]</f>
        <v>PO6.1</v>
      </c>
      <c r="C25" t="s">
        <v>253</v>
      </c>
      <c r="D25" s="9" t="str">
        <f>_xlfn.XLOOKUP(Table4[[#This Row],[PO '#]],Table1[Order '#],Table1[Name],"",0)</f>
        <v>Due Connectors F</v>
      </c>
      <c r="E25">
        <v>1</v>
      </c>
      <c r="F25" s="29"/>
      <c r="G25" s="26" t="s">
        <v>265</v>
      </c>
      <c r="H25" s="27" t="str">
        <f>_xlfn.XLOOKUP(Table4[[#This Row],[Part '#]],Table2[Part '#],Table2[Part Name],"?",0)</f>
        <v>Con: P5-3 Motor side</v>
      </c>
      <c r="I25" s="27" t="str">
        <f>_xlfn.XLOOKUP(Table4[[#This Row],[Part '#]],Table2[Part '#],Table2[Part Description],"?",0)</f>
        <v>8 pin female header</v>
      </c>
      <c r="K25">
        <v>20</v>
      </c>
      <c r="L25" s="9" t="str">
        <f>_xlfn.XLOOKUP(Table4[[#This Row],[PO '#]],Table1[Order '#],Table1[Status],"",0)</f>
        <v>Paid</v>
      </c>
      <c r="M25" s="9" t="str">
        <f>_xlfn.XLOOKUP(Table4[[#This Row],[PO '#]],Table1[Order '#],Table1[Vendor],"",0)</f>
        <v>Amazon</v>
      </c>
      <c r="O25" s="25" t="s">
        <v>261</v>
      </c>
      <c r="P25">
        <v>19.48</v>
      </c>
      <c r="Q25">
        <v>1</v>
      </c>
      <c r="R25" s="9">
        <f>Table4[[#This Row],[Order Qty]]*Table4[[#This Row],[Price/ea]]</f>
        <v>19.48</v>
      </c>
    </row>
    <row r="26" spans="2:19" x14ac:dyDescent="0.25">
      <c r="B26" s="36" t="str">
        <f>Table4[[#This Row],[PO '#]]&amp;"."&amp;Table4[[#This Row],[Line Num.]]</f>
        <v>PO7.</v>
      </c>
      <c r="C26" t="s">
        <v>325</v>
      </c>
      <c r="D26" s="9" t="str">
        <f>_xlfn.XLOOKUP(Table4[[#This Row],[PO '#]],Table1[Order '#],Table1[Name],"",0)</f>
        <v>Pillow Block Bearings</v>
      </c>
      <c r="F26" s="29"/>
      <c r="G26" s="26"/>
      <c r="H26" s="37">
        <f>_xlfn.XLOOKUP(Table4[[#This Row],[Part '#]],Table2[Part '#],Table2[Part Name],"?",0)</f>
        <v>0</v>
      </c>
      <c r="I26" s="37">
        <f>_xlfn.XLOOKUP(Table4[[#This Row],[Part '#]],Table2[Part '#],Table2[Part Description],"?",0)</f>
        <v>0</v>
      </c>
      <c r="L26" s="36" t="str">
        <f>_xlfn.XLOOKUP(Table4[[#This Row],[PO '#]],Table1[Order '#],Table1[Status],"",0)</f>
        <v>Received</v>
      </c>
      <c r="M26" s="36" t="str">
        <f>_xlfn.XLOOKUP(Table4[[#This Row],[PO '#]],Table1[Order '#],Table1[Vendor],"",0)</f>
        <v>Amazon</v>
      </c>
      <c r="O26" s="25" t="s">
        <v>347</v>
      </c>
      <c r="R26" s="36">
        <f>Table4[[#This Row],[Order Qty]]*Table4[[#This Row],[Price/ea]]</f>
        <v>0</v>
      </c>
    </row>
    <row r="27" spans="2:19" x14ac:dyDescent="0.25">
      <c r="B27" s="36" t="str">
        <f>Table4[[#This Row],[PO '#]]&amp;"."&amp;Table4[[#This Row],[Line Num.]]</f>
        <v>PO8.</v>
      </c>
      <c r="C27" t="s">
        <v>326</v>
      </c>
      <c r="D27" s="9" t="str">
        <f>_xlfn.XLOOKUP(Table4[[#This Row],[PO '#]],Table1[Order '#],Table1[Name],"",0)</f>
        <v>Flange Bearings</v>
      </c>
      <c r="F27" s="29"/>
      <c r="G27" s="26"/>
      <c r="H27" s="37">
        <f>_xlfn.XLOOKUP(Table4[[#This Row],[Part '#]],Table2[Part '#],Table2[Part Name],"?",0)</f>
        <v>0</v>
      </c>
      <c r="I27" s="37">
        <f>_xlfn.XLOOKUP(Table4[[#This Row],[Part '#]],Table2[Part '#],Table2[Part Description],"?",0)</f>
        <v>0</v>
      </c>
      <c r="L27" s="36" t="str">
        <f>_xlfn.XLOOKUP(Table4[[#This Row],[PO '#]],Table1[Order '#],Table1[Status],"",0)</f>
        <v>Received</v>
      </c>
      <c r="M27" s="36" t="str">
        <f>_xlfn.XLOOKUP(Table4[[#This Row],[PO '#]],Table1[Order '#],Table1[Vendor],"",0)</f>
        <v>Amazon</v>
      </c>
      <c r="O27" s="25" t="s">
        <v>346</v>
      </c>
      <c r="R27" s="36">
        <f>Table4[[#This Row],[Order Qty]]*Table4[[#This Row],[Price/ea]]</f>
        <v>0</v>
      </c>
    </row>
    <row r="28" spans="2:19" x14ac:dyDescent="0.25">
      <c r="B28" s="36" t="str">
        <f>Table4[[#This Row],[PO '#]]&amp;"."&amp;Table4[[#This Row],[Line Num.]]</f>
        <v>PO9.</v>
      </c>
      <c r="C28" t="s">
        <v>329</v>
      </c>
      <c r="D28" s="9" t="str">
        <f>_xlfn.XLOOKUP(Table4[[#This Row],[PO '#]],Table1[Order '#],Table1[Name],"",0)</f>
        <v>Limit Switches</v>
      </c>
      <c r="F28" s="29"/>
      <c r="G28" s="26"/>
      <c r="H28" s="37">
        <f>_xlfn.XLOOKUP(Table4[[#This Row],[Part '#]],Table2[Part '#],Table2[Part Name],"?",0)</f>
        <v>0</v>
      </c>
      <c r="I28" s="37">
        <f>_xlfn.XLOOKUP(Table4[[#This Row],[Part '#]],Table2[Part '#],Table2[Part Description],"?",0)</f>
        <v>0</v>
      </c>
      <c r="L28" s="36" t="str">
        <f>_xlfn.XLOOKUP(Table4[[#This Row],[PO '#]],Table1[Order '#],Table1[Status],"",0)</f>
        <v>Planning</v>
      </c>
      <c r="M28" s="36" t="str">
        <f>_xlfn.XLOOKUP(Table4[[#This Row],[PO '#]],Table1[Order '#],Table1[Vendor],"",0)</f>
        <v>Amazon</v>
      </c>
      <c r="O28" s="25" t="s">
        <v>357</v>
      </c>
      <c r="R28" s="36">
        <f>Table4[[#This Row],[Order Qty]]*Table4[[#This Row],[Price/ea]]</f>
        <v>0</v>
      </c>
    </row>
  </sheetData>
  <hyperlinks>
    <hyperlink ref="O23" r:id="rId1" xr:uid="{B1B86B24-C7AB-4886-B9D6-24EA6CA8939B}"/>
    <hyperlink ref="O24" r:id="rId2" xr:uid="{6C14E426-CA1A-4AAA-8BBA-89C931EAF3B3}"/>
    <hyperlink ref="O25" r:id="rId3" xr:uid="{21578AF4-1DA1-4AF2-AD85-25D0C0A9A65B}"/>
    <hyperlink ref="O13" r:id="rId4" xr:uid="{B658F3D7-94A5-4222-B90A-BED48A50A402}"/>
    <hyperlink ref="O19" r:id="rId5" xr:uid="{4BFF20C5-D61E-4F92-A47F-BBAE99B65EF0}"/>
    <hyperlink ref="O15" r:id="rId6" xr:uid="{7E96CEAF-2C2C-45C5-AB76-77F8178A3A58}"/>
    <hyperlink ref="O17" r:id="rId7" xr:uid="{81B7BE3C-A35D-4562-8D02-92FE380180A7}"/>
    <hyperlink ref="O27" r:id="rId8" xr:uid="{699B354E-FA0D-4BEA-BA8D-F39B066E7815}"/>
    <hyperlink ref="O26" r:id="rId9" xr:uid="{AA49C2EA-8E9C-4F3E-B05D-24E7757BA0C4}"/>
    <hyperlink ref="O16" r:id="rId10" xr:uid="{94D6B54E-4DD3-448F-8CD0-30ACBA9F3B49}"/>
    <hyperlink ref="O18" r:id="rId11" xr:uid="{D59B1F7C-48F3-4070-A894-1A5F21977D8C}"/>
    <hyperlink ref="O20" r:id="rId12" xr:uid="{1DFA41AB-A4D6-453D-80E0-2ADF970A2025}"/>
    <hyperlink ref="O21" r:id="rId13" xr:uid="{963A6925-887C-4E1F-A6B8-8EEF7BF7F622}"/>
    <hyperlink ref="O22" r:id="rId14" xr:uid="{08F1FF3E-25CE-4BDE-915B-1F176D3D2876}"/>
    <hyperlink ref="O28" r:id="rId15" xr:uid="{C52288B6-F13D-4DDE-9979-9D53F5298803}"/>
  </hyperlinks>
  <pageMargins left="0.7" right="0.7" top="0.75" bottom="0.75" header="0.3" footer="0.3"/>
  <legacyDrawing r:id="rId16"/>
  <tableParts count="1">
    <tablePart r:id="rId1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C1BBB-99A8-4ECF-A0A2-32053A3916B6}">
  <sheetPr codeName="Sheet4"/>
  <dimension ref="B2:F26"/>
  <sheetViews>
    <sheetView workbookViewId="0">
      <selection activeCell="B19" sqref="B19"/>
    </sheetView>
  </sheetViews>
  <sheetFormatPr defaultRowHeight="15" x14ac:dyDescent="0.25"/>
  <cols>
    <col min="1" max="1" width="4.7109375" customWidth="1"/>
    <col min="3" max="3" width="11.5703125" customWidth="1"/>
    <col min="4" max="4" width="10.85546875" customWidth="1"/>
    <col min="5" max="5" width="18.7109375" customWidth="1"/>
    <col min="6" max="6" width="130.140625" customWidth="1"/>
  </cols>
  <sheetData>
    <row r="2" spans="2:6" ht="15.75" x14ac:dyDescent="0.25">
      <c r="B2" s="30" t="s">
        <v>278</v>
      </c>
    </row>
    <row r="3" spans="2:6" x14ac:dyDescent="0.25">
      <c r="B3" t="s">
        <v>71</v>
      </c>
    </row>
    <row r="4" spans="2:6" x14ac:dyDescent="0.25">
      <c r="B4" t="s">
        <v>72</v>
      </c>
    </row>
    <row r="5" spans="2:6" x14ac:dyDescent="0.25">
      <c r="B5" t="s">
        <v>73</v>
      </c>
    </row>
    <row r="10" spans="2:6" ht="23.25" x14ac:dyDescent="0.35">
      <c r="B10" s="2" t="s">
        <v>147</v>
      </c>
    </row>
    <row r="12" spans="2:6" x14ac:dyDescent="0.25">
      <c r="B12" t="s">
        <v>65</v>
      </c>
      <c r="C12" t="s">
        <v>68</v>
      </c>
      <c r="D12" t="s">
        <v>11</v>
      </c>
      <c r="E12" t="s">
        <v>69</v>
      </c>
      <c r="F12" t="s">
        <v>70</v>
      </c>
    </row>
    <row r="13" spans="2:6" x14ac:dyDescent="0.25">
      <c r="B13" t="s">
        <v>74</v>
      </c>
      <c r="C13" s="5">
        <v>45964</v>
      </c>
      <c r="D13" t="s">
        <v>28</v>
      </c>
      <c r="E13" s="9" t="str">
        <f>_xlfn.XLOOKUP(Table3[[#This Row],[PO]],Table1[Order '#],Table1[Name],"",0)</f>
        <v>T8 lead screws</v>
      </c>
      <c r="F13" t="s">
        <v>145</v>
      </c>
    </row>
    <row r="14" spans="2:6" x14ac:dyDescent="0.25">
      <c r="B14" t="s">
        <v>75</v>
      </c>
      <c r="C14" s="5">
        <v>45961</v>
      </c>
      <c r="D14" t="s">
        <v>28</v>
      </c>
      <c r="E14" s="9" t="str">
        <f>_xlfn.XLOOKUP(Table3[[#This Row],[PO]],Table1[Order '#],Table1[Name],"",0)</f>
        <v>Linear Rails</v>
      </c>
      <c r="F14" t="s">
        <v>145</v>
      </c>
    </row>
    <row r="15" spans="2:6" x14ac:dyDescent="0.25">
      <c r="B15" t="s">
        <v>174</v>
      </c>
      <c r="C15" s="5">
        <v>45966</v>
      </c>
      <c r="D15" t="s">
        <v>28</v>
      </c>
      <c r="E15" s="9" t="str">
        <f>_xlfn.XLOOKUP(Table3[[#This Row],[PO]],Table1[Order '#],Table1[Name],"",0)</f>
        <v>Motors</v>
      </c>
      <c r="F15" t="s">
        <v>145</v>
      </c>
    </row>
    <row r="16" spans="2:6" x14ac:dyDescent="0.25">
      <c r="B16" t="s">
        <v>248</v>
      </c>
      <c r="C16" s="5">
        <v>45985</v>
      </c>
      <c r="D16" t="s">
        <v>26</v>
      </c>
      <c r="E16" s="9" t="str">
        <f>_xlfn.XLOOKUP(Table3[[#This Row],[PO]],Table1[Order '#],Table1[Name],"",0)</f>
        <v>M3 inserts</v>
      </c>
      <c r="F16" t="s">
        <v>254</v>
      </c>
    </row>
    <row r="17" spans="2:6" x14ac:dyDescent="0.25">
      <c r="B17" t="s">
        <v>252</v>
      </c>
      <c r="C17" s="5">
        <v>45985</v>
      </c>
      <c r="D17" t="s">
        <v>26</v>
      </c>
      <c r="E17" s="9" t="str">
        <f>_xlfn.XLOOKUP(Table3[[#This Row],[PO]],Table1[Order '#],Table1[Name],"",0)</f>
        <v>Due Headers M</v>
      </c>
      <c r="F17" t="s">
        <v>254</v>
      </c>
    </row>
    <row r="18" spans="2:6" x14ac:dyDescent="0.25">
      <c r="B18" t="s">
        <v>253</v>
      </c>
      <c r="C18" s="5">
        <v>45985</v>
      </c>
      <c r="D18" t="s">
        <v>26</v>
      </c>
      <c r="E18" s="9" t="str">
        <f>_xlfn.XLOOKUP(Table3[[#This Row],[PO]],Table1[Order '#],Table1[Name],"",0)</f>
        <v>Due Connectors F</v>
      </c>
      <c r="F18" t="s">
        <v>254</v>
      </c>
    </row>
    <row r="19" spans="2:6" x14ac:dyDescent="0.25">
      <c r="B19" t="s">
        <v>329</v>
      </c>
      <c r="C19" s="5">
        <v>46035</v>
      </c>
      <c r="D19" t="s">
        <v>22</v>
      </c>
      <c r="E19" s="9" t="str">
        <f>_xlfn.XLOOKUP(Table3[[#This Row],[PO]],Table1[Order '#],Table1[Name],"",0)</f>
        <v>Limit Switches</v>
      </c>
      <c r="F19" t="s">
        <v>22</v>
      </c>
    </row>
    <row r="20" spans="2:6" x14ac:dyDescent="0.25">
      <c r="B20" t="s">
        <v>325</v>
      </c>
      <c r="C20" s="5">
        <v>45969</v>
      </c>
      <c r="D20" t="s">
        <v>28</v>
      </c>
      <c r="E20" s="9" t="str">
        <f>_xlfn.XLOOKUP(Table3[[#This Row],[PO]],Table1[Order '#],Table1[Name],"",0)</f>
        <v>Pillow Block Bearings</v>
      </c>
    </row>
    <row r="21" spans="2:6" x14ac:dyDescent="0.25">
      <c r="B21" t="s">
        <v>326</v>
      </c>
      <c r="C21" s="5">
        <v>45969</v>
      </c>
      <c r="D21" t="s">
        <v>28</v>
      </c>
      <c r="E21" s="9" t="str">
        <f>_xlfn.XLOOKUP(Table3[[#This Row],[PO]],Table1[Order '#],Table1[Name],"",0)</f>
        <v>Flange Bearings</v>
      </c>
    </row>
    <row r="22" spans="2:6" x14ac:dyDescent="0.25">
      <c r="B22" t="s">
        <v>331</v>
      </c>
      <c r="C22" s="5">
        <v>45292</v>
      </c>
      <c r="D22" t="s">
        <v>28</v>
      </c>
      <c r="E22" s="9" t="str">
        <f>_xlfn.XLOOKUP(Table3[[#This Row],[PO]],Table1[Order '#],Table1[Name],"",0)</f>
        <v>Arduino Due</v>
      </c>
      <c r="F22" t="s">
        <v>358</v>
      </c>
    </row>
    <row r="23" spans="2:6" x14ac:dyDescent="0.25">
      <c r="B23" t="s">
        <v>333</v>
      </c>
      <c r="C23" s="5">
        <v>45495</v>
      </c>
      <c r="D23" t="s">
        <v>28</v>
      </c>
      <c r="E23" s="9" t="str">
        <f>_xlfn.XLOOKUP(Table3[[#This Row],[PO]],Table1[Order '#],Table1[Name],"",0)</f>
        <v>DRV8825 Drivers</v>
      </c>
    </row>
    <row r="24" spans="2:6" x14ac:dyDescent="0.25">
      <c r="B24" t="s">
        <v>334</v>
      </c>
      <c r="C24" s="5">
        <v>45985</v>
      </c>
      <c r="D24" t="s">
        <v>28</v>
      </c>
      <c r="E24" s="9" t="str">
        <f>_xlfn.XLOOKUP(Table3[[#This Row],[PO]],Table1[Order '#],Table1[Name],"",0)</f>
        <v>Dupont headers</v>
      </c>
    </row>
    <row r="25" spans="2:6" x14ac:dyDescent="0.25">
      <c r="B25" t="s">
        <v>336</v>
      </c>
      <c r="C25" s="5">
        <v>46034</v>
      </c>
      <c r="D25" t="s">
        <v>28</v>
      </c>
      <c r="E25" s="9" t="str">
        <f>_xlfn.XLOOKUP(Table3[[#This Row],[PO]],Table1[Order '#],Table1[Name],"",0)</f>
        <v>TMC2209 drivers</v>
      </c>
      <c r="F25" t="s">
        <v>359</v>
      </c>
    </row>
    <row r="26" spans="2:6" x14ac:dyDescent="0.25">
      <c r="B26" t="s">
        <v>338</v>
      </c>
      <c r="C26" s="5">
        <v>45292</v>
      </c>
      <c r="D26" t="s">
        <v>28</v>
      </c>
      <c r="E26" s="9" t="str">
        <f>_xlfn.XLOOKUP(Table3[[#This Row],[PO]],Table1[Order '#],Table1[Name],"",0)</f>
        <v>DB9 connectors</v>
      </c>
      <c r="F26" t="s">
        <v>360</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D82AC32-8136-4FCB-AFC7-3D70E467C3DB}">
          <x14:formula1>
            <xm:f>POs!$I$3:$I$9</xm:f>
          </x14:formula1>
          <xm:sqref>D13:D26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973EF-D4A3-4C86-B56A-FB6B88D66196}">
  <sheetPr codeName="Sheet5"/>
  <dimension ref="B2:H18"/>
  <sheetViews>
    <sheetView workbookViewId="0">
      <selection activeCell="D28" sqref="D28"/>
    </sheetView>
  </sheetViews>
  <sheetFormatPr defaultRowHeight="15" x14ac:dyDescent="0.25"/>
  <cols>
    <col min="3" max="3" width="28.7109375" customWidth="1"/>
    <col min="4" max="4" width="74.5703125" customWidth="1"/>
    <col min="5" max="5" width="15.140625" customWidth="1"/>
    <col min="6" max="6" width="15.42578125" customWidth="1"/>
    <col min="7" max="7" width="15.28515625" customWidth="1"/>
    <col min="8" max="8" width="82.7109375" customWidth="1"/>
    <col min="9" max="9" width="27.140625" customWidth="1"/>
  </cols>
  <sheetData>
    <row r="2" spans="2:8" x14ac:dyDescent="0.25">
      <c r="B2" t="s">
        <v>223</v>
      </c>
      <c r="E2" s="1" t="s">
        <v>231</v>
      </c>
      <c r="F2" s="1" t="s">
        <v>21</v>
      </c>
    </row>
    <row r="3" spans="2:8" x14ac:dyDescent="0.25">
      <c r="B3" t="s">
        <v>224</v>
      </c>
      <c r="E3" t="s">
        <v>232</v>
      </c>
      <c r="F3" t="s">
        <v>22</v>
      </c>
    </row>
    <row r="4" spans="2:8" x14ac:dyDescent="0.25">
      <c r="B4" t="s">
        <v>225</v>
      </c>
      <c r="E4" t="s">
        <v>233</v>
      </c>
      <c r="F4" t="s">
        <v>229</v>
      </c>
    </row>
    <row r="5" spans="2:8" x14ac:dyDescent="0.25">
      <c r="E5" t="s">
        <v>234</v>
      </c>
      <c r="F5" t="s">
        <v>228</v>
      </c>
    </row>
    <row r="6" spans="2:8" x14ac:dyDescent="0.25">
      <c r="E6" t="s">
        <v>235</v>
      </c>
      <c r="F6" t="s">
        <v>230</v>
      </c>
    </row>
    <row r="7" spans="2:8" x14ac:dyDescent="0.25">
      <c r="E7" t="s">
        <v>236</v>
      </c>
    </row>
    <row r="8" spans="2:8" x14ac:dyDescent="0.25">
      <c r="E8" t="s">
        <v>230</v>
      </c>
    </row>
    <row r="10" spans="2:8" ht="23.25" x14ac:dyDescent="0.35">
      <c r="B10" s="2" t="s">
        <v>227</v>
      </c>
    </row>
    <row r="12" spans="2:8" x14ac:dyDescent="0.25">
      <c r="B12" s="18" t="s">
        <v>215</v>
      </c>
      <c r="C12" s="14" t="s">
        <v>8</v>
      </c>
      <c r="D12" s="14" t="s">
        <v>9</v>
      </c>
      <c r="E12" s="19" t="s">
        <v>226</v>
      </c>
      <c r="F12" s="19" t="s">
        <v>11</v>
      </c>
      <c r="G12" s="19" t="s">
        <v>17</v>
      </c>
      <c r="H12" s="19" t="s">
        <v>18</v>
      </c>
    </row>
    <row r="13" spans="2:8" x14ac:dyDescent="0.25">
      <c r="B13" t="s">
        <v>217</v>
      </c>
      <c r="C13" t="s">
        <v>221</v>
      </c>
      <c r="E13" t="s">
        <v>230</v>
      </c>
      <c r="F13" s="9" t="str">
        <f>_xlfn.XLOOKUP(Table5[[#This Row],[Task '#]],Table6[Task],Table6[Status],"",0, -1)</f>
        <v>Completed</v>
      </c>
      <c r="G13" s="24">
        <f>_xlfn.XLOOKUP(Table5[[#This Row],[Task '#]],Table6[Task],Table6[Date],"",0, -1)</f>
        <v>45931</v>
      </c>
      <c r="H13" s="9" t="str">
        <f>_xlfn.XLOOKUP(Table5[[#This Row],[Task '#]],Table6[Task],Table6[Note],"",0, -1)</f>
        <v>Identified in the README.md</v>
      </c>
    </row>
    <row r="14" spans="2:8" x14ac:dyDescent="0.25">
      <c r="B14" t="s">
        <v>218</v>
      </c>
      <c r="C14" t="s">
        <v>222</v>
      </c>
      <c r="E14" t="s">
        <v>230</v>
      </c>
      <c r="F14" s="9" t="str">
        <f>_xlfn.XLOOKUP(Table5[[#This Row],[Task '#]],Table6[Task],Table6[Status],"",0, -1)</f>
        <v>Completed</v>
      </c>
      <c r="G14" s="24">
        <f>_xlfn.XLOOKUP(Table5[[#This Row],[Task '#]],Table6[Task],Table6[Date],"",0, -1)</f>
        <v>45931</v>
      </c>
      <c r="H14" s="9" t="str">
        <f>_xlfn.XLOOKUP(Table5[[#This Row],[Task '#]],Table6[Task],Table6[Note],"",0, -1)</f>
        <v>Outlined in diagram D1 and included in the Parts sheet</v>
      </c>
    </row>
    <row r="15" spans="2:8" x14ac:dyDescent="0.25">
      <c r="B15" t="s">
        <v>219</v>
      </c>
      <c r="C15" t="s">
        <v>220</v>
      </c>
      <c r="E15" t="s">
        <v>230</v>
      </c>
      <c r="F15" s="9" t="str">
        <f>_xlfn.XLOOKUP(Table5[[#This Row],[Task '#]],Table6[Task],Table6[Status],"",0, -1)</f>
        <v>Completed</v>
      </c>
      <c r="G15" s="24">
        <f>_xlfn.XLOOKUP(Table5[[#This Row],[Task '#]],Table6[Task],Table6[Date],"",0, -1)</f>
        <v>45931</v>
      </c>
      <c r="H15" s="9" t="str">
        <f>_xlfn.XLOOKUP(Table5[[#This Row],[Task '#]],Table6[Task],Table6[Note],"",0, -1)</f>
        <v>Generated diagram D1</v>
      </c>
    </row>
    <row r="16" spans="2:8" x14ac:dyDescent="0.25">
      <c r="B16" t="s">
        <v>245</v>
      </c>
      <c r="C16" t="s">
        <v>246</v>
      </c>
      <c r="D16" t="s">
        <v>247</v>
      </c>
      <c r="E16" t="s">
        <v>232</v>
      </c>
      <c r="F16" s="9" t="str">
        <f>_xlfn.XLOOKUP(Table5[[#This Row],[Task '#]],Table6[Task],Table6[Status],"",0, -1)</f>
        <v>Completed</v>
      </c>
      <c r="G16" s="24">
        <f>_xlfn.XLOOKUP(Table5[[#This Row],[Task '#]],Table6[Task],Table6[Date],"",0, -1)</f>
        <v>45992</v>
      </c>
      <c r="H16" s="9" t="str">
        <f>_xlfn.XLOOKUP(Table5[[#This Row],[Task '#]],Table6[Task],Table6[Note],"",0, -1)</f>
        <v>Finished some time in december</v>
      </c>
    </row>
    <row r="17" spans="2:8" x14ac:dyDescent="0.25">
      <c r="B17" t="s">
        <v>269</v>
      </c>
      <c r="C17" t="s">
        <v>270</v>
      </c>
      <c r="D17" t="s">
        <v>271</v>
      </c>
      <c r="E17" t="s">
        <v>233</v>
      </c>
      <c r="F17" s="9" t="str">
        <f>_xlfn.XLOOKUP(Table5[[#This Row],[Task '#]],Table6[Task],Table6[Status],"",0, -1)</f>
        <v>Completed</v>
      </c>
      <c r="G17" s="24">
        <f>_xlfn.XLOOKUP(Table5[[#This Row],[Task '#]],Table6[Task],Table6[Date],"",0, -1)</f>
        <v>45992</v>
      </c>
      <c r="H17" s="9" t="str">
        <f>_xlfn.XLOOKUP(Table5[[#This Row],[Task '#]],Table6[Task],Table6[Note],"",0, -1)</f>
        <v>Finished some time in december</v>
      </c>
    </row>
    <row r="18" spans="2:8" x14ac:dyDescent="0.25">
      <c r="B18" t="s">
        <v>274</v>
      </c>
      <c r="C18" t="s">
        <v>275</v>
      </c>
      <c r="D18" t="s">
        <v>276</v>
      </c>
      <c r="E18" t="s">
        <v>234</v>
      </c>
      <c r="F18" s="9" t="str">
        <f>_xlfn.XLOOKUP(Table5[[#This Row],[Task '#]],Table6[Task],Table6[Status],"",0, -1)</f>
        <v>Completed</v>
      </c>
      <c r="G18" s="24">
        <f>_xlfn.XLOOKUP(Table5[[#This Row],[Task '#]],Table6[Task],Table6[Date],"",0, -1)</f>
        <v>46035</v>
      </c>
      <c r="H18" s="9" t="str">
        <f>_xlfn.XLOOKUP(Table5[[#This Row],[Task '#]],Table6[Task],Table6[Note],"",0, -1)</f>
        <v>Just did this</v>
      </c>
    </row>
  </sheetData>
  <dataValidations count="1">
    <dataValidation type="list" allowBlank="1" showInputMessage="1" showErrorMessage="1" sqref="E13:E18" xr:uid="{117FB513-9C75-4F87-A7C1-1529CA8105EE}">
      <formula1>$E$3:$E$8</formula1>
    </dataValidation>
  </dataValidation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EE35B-8D5D-4A3D-90DC-12DEFC3596DF}">
  <sheetPr codeName="Sheet6"/>
  <dimension ref="B2:F21"/>
  <sheetViews>
    <sheetView workbookViewId="0">
      <selection activeCell="B2" sqref="B2:B5"/>
    </sheetView>
  </sheetViews>
  <sheetFormatPr defaultRowHeight="15" x14ac:dyDescent="0.25"/>
  <cols>
    <col min="3" max="3" width="11.5703125" customWidth="1"/>
    <col min="4" max="4" width="17.140625" customWidth="1"/>
    <col min="5" max="5" width="40.7109375" customWidth="1"/>
    <col min="6" max="6" width="86" customWidth="1"/>
  </cols>
  <sheetData>
    <row r="2" spans="2:6" ht="15.75" x14ac:dyDescent="0.25">
      <c r="B2" s="30" t="s">
        <v>278</v>
      </c>
    </row>
    <row r="3" spans="2:6" x14ac:dyDescent="0.25">
      <c r="B3" t="s">
        <v>240</v>
      </c>
    </row>
    <row r="4" spans="2:6" x14ac:dyDescent="0.25">
      <c r="B4" t="s">
        <v>241</v>
      </c>
    </row>
    <row r="5" spans="2:6" x14ac:dyDescent="0.25">
      <c r="B5" t="s">
        <v>242</v>
      </c>
    </row>
    <row r="10" spans="2:6" ht="23.25" x14ac:dyDescent="0.35">
      <c r="B10" s="2" t="s">
        <v>239</v>
      </c>
    </row>
    <row r="12" spans="2:6" x14ac:dyDescent="0.25">
      <c r="B12" s="21" t="s">
        <v>216</v>
      </c>
      <c r="C12" s="22" t="s">
        <v>68</v>
      </c>
      <c r="D12" s="22" t="s">
        <v>11</v>
      </c>
      <c r="E12" s="22" t="s">
        <v>237</v>
      </c>
      <c r="F12" s="23" t="s">
        <v>70</v>
      </c>
    </row>
    <row r="13" spans="2:6" x14ac:dyDescent="0.25">
      <c r="B13" t="s">
        <v>217</v>
      </c>
      <c r="C13" s="20">
        <v>45931</v>
      </c>
      <c r="D13" t="s">
        <v>230</v>
      </c>
      <c r="E13" s="9" t="str">
        <f>_xlfn.XLOOKUP(Table6[[#This Row],[Task]],Table5[Task '#],Table5[Name],"",0)</f>
        <v>Outline objectives</v>
      </c>
      <c r="F13" s="28" t="s">
        <v>238</v>
      </c>
    </row>
    <row r="14" spans="2:6" x14ac:dyDescent="0.25">
      <c r="B14" t="s">
        <v>218</v>
      </c>
      <c r="C14" s="20">
        <v>45931</v>
      </c>
      <c r="D14" t="s">
        <v>230</v>
      </c>
      <c r="E14" s="9" t="str">
        <f>_xlfn.XLOOKUP(Table6[[#This Row],[Task]],Table5[Task '#],Table5[Name],"",0)</f>
        <v>Begin identifying key parts</v>
      </c>
      <c r="F14" s="28" t="s">
        <v>243</v>
      </c>
    </row>
    <row r="15" spans="2:6" x14ac:dyDescent="0.25">
      <c r="B15" t="s">
        <v>219</v>
      </c>
      <c r="C15" s="20">
        <v>45931</v>
      </c>
      <c r="D15" t="s">
        <v>230</v>
      </c>
      <c r="E15" s="9" t="str">
        <f>_xlfn.XLOOKUP(Table6[[#This Row],[Task]],Table5[Task '#],Table5[Name],"",0)</f>
        <v>First concept diagram</v>
      </c>
      <c r="F15" s="28" t="s">
        <v>244</v>
      </c>
    </row>
    <row r="16" spans="2:6" ht="120" x14ac:dyDescent="0.25">
      <c r="B16" t="s">
        <v>245</v>
      </c>
      <c r="C16" s="20">
        <v>45986</v>
      </c>
      <c r="D16" t="s">
        <v>22</v>
      </c>
      <c r="E16" s="9" t="str">
        <f>_xlfn.XLOOKUP(Table6[[#This Row],[Task]],Table5[Task '#],Table5[Name],"",0)</f>
        <v>Stepper Driver Mounts</v>
      </c>
      <c r="F16" s="28" t="s">
        <v>272</v>
      </c>
    </row>
    <row r="17" spans="2:6" ht="30" x14ac:dyDescent="0.25">
      <c r="B17" t="s">
        <v>269</v>
      </c>
      <c r="C17" s="20">
        <v>45986</v>
      </c>
      <c r="D17" t="s">
        <v>22</v>
      </c>
      <c r="E17" s="9" t="str">
        <f>_xlfn.XLOOKUP(Table6[[#This Row],[Task]],Table5[Task '#],Table5[Name],"",0)</f>
        <v>Due Lateral Headers</v>
      </c>
      <c r="F17" s="28" t="s">
        <v>273</v>
      </c>
    </row>
    <row r="18" spans="2:6" ht="30" x14ac:dyDescent="0.25">
      <c r="B18" t="s">
        <v>274</v>
      </c>
      <c r="C18" s="20">
        <v>45986</v>
      </c>
      <c r="D18" t="s">
        <v>229</v>
      </c>
      <c r="E18" s="9" t="str">
        <f>_xlfn.XLOOKUP(Table6[[#This Row],[Task]],Table5[Task '#],Table5[Name],"",0)</f>
        <v>Document past orders</v>
      </c>
      <c r="F18" s="28" t="s">
        <v>277</v>
      </c>
    </row>
    <row r="19" spans="2:6" x14ac:dyDescent="0.25">
      <c r="B19" t="s">
        <v>245</v>
      </c>
      <c r="C19" s="20">
        <v>45992</v>
      </c>
      <c r="D19" t="s">
        <v>230</v>
      </c>
      <c r="E19" s="9" t="str">
        <f>_xlfn.XLOOKUP(Table6[[#This Row],[Task]],Table5[Task '#],Table5[Name],"",0)</f>
        <v>Stepper Driver Mounts</v>
      </c>
      <c r="F19" s="28" t="s">
        <v>361</v>
      </c>
    </row>
    <row r="20" spans="2:6" x14ac:dyDescent="0.25">
      <c r="B20" t="s">
        <v>269</v>
      </c>
      <c r="C20" s="20">
        <v>45992</v>
      </c>
      <c r="D20" t="s">
        <v>230</v>
      </c>
      <c r="E20" s="9" t="str">
        <f>_xlfn.XLOOKUP(Table6[[#This Row],[Task]],Table5[Task '#],Table5[Name],"",0)</f>
        <v>Due Lateral Headers</v>
      </c>
      <c r="F20" s="28" t="s">
        <v>361</v>
      </c>
    </row>
    <row r="21" spans="2:6" x14ac:dyDescent="0.25">
      <c r="B21" t="s">
        <v>274</v>
      </c>
      <c r="C21" s="20">
        <v>46035</v>
      </c>
      <c r="D21" t="s">
        <v>230</v>
      </c>
      <c r="E21" s="9" t="str">
        <f>_xlfn.XLOOKUP(Table6[[#This Row],[Task]],Table5[Task '#],Table5[Name],"",0)</f>
        <v>Document past orders</v>
      </c>
      <c r="F21" s="28" t="s">
        <v>362</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85B62FC8-4F98-49BE-A85B-3F51DC0AF3A4}">
          <x14:formula1>
            <xm:f>Tasks!$F$3:$F$6</xm:f>
          </x14:formula1>
          <xm:sqref>D13:D21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9A339-69BB-443B-A801-B04FA80D98AD}">
  <sheetPr codeName="Sheet8"/>
  <dimension ref="B2:C17"/>
  <sheetViews>
    <sheetView tabSelected="1" workbookViewId="0">
      <selection activeCell="C10" sqref="C10"/>
    </sheetView>
  </sheetViews>
  <sheetFormatPr defaultRowHeight="15" x14ac:dyDescent="0.25"/>
  <cols>
    <col min="2" max="2" width="11.5703125" customWidth="1"/>
    <col min="3" max="3" width="140" customWidth="1"/>
  </cols>
  <sheetData>
    <row r="2" spans="2:3" ht="15.75" x14ac:dyDescent="0.25">
      <c r="B2" s="30" t="s">
        <v>278</v>
      </c>
    </row>
    <row r="4" spans="2:3" x14ac:dyDescent="0.25">
      <c r="B4" t="s">
        <v>363</v>
      </c>
    </row>
    <row r="6" spans="2:3" ht="23.25" x14ac:dyDescent="0.35">
      <c r="B6" s="2" t="s">
        <v>239</v>
      </c>
    </row>
    <row r="8" spans="2:3" x14ac:dyDescent="0.25">
      <c r="B8" s="22" t="s">
        <v>68</v>
      </c>
      <c r="C8" s="23" t="s">
        <v>70</v>
      </c>
    </row>
    <row r="9" spans="2:3" ht="60" x14ac:dyDescent="0.25">
      <c r="B9" s="20">
        <v>46035</v>
      </c>
      <c r="C9" s="28" t="s">
        <v>364</v>
      </c>
    </row>
    <row r="10" spans="2:3" x14ac:dyDescent="0.25">
      <c r="B10" s="20"/>
      <c r="C10" s="28"/>
    </row>
    <row r="11" spans="2:3" x14ac:dyDescent="0.25">
      <c r="B11" s="20"/>
      <c r="C11" s="28"/>
    </row>
    <row r="12" spans="2:3" x14ac:dyDescent="0.25">
      <c r="B12" s="20"/>
      <c r="C12" s="28"/>
    </row>
    <row r="13" spans="2:3" x14ac:dyDescent="0.25">
      <c r="B13" s="20"/>
      <c r="C13" s="28"/>
    </row>
    <row r="14" spans="2:3" x14ac:dyDescent="0.25">
      <c r="B14" s="20"/>
      <c r="C14" s="28"/>
    </row>
    <row r="15" spans="2:3" x14ac:dyDescent="0.25">
      <c r="B15" s="20"/>
      <c r="C15" s="28"/>
    </row>
    <row r="16" spans="2:3" x14ac:dyDescent="0.25">
      <c r="B16" s="20"/>
      <c r="C16" s="28"/>
    </row>
    <row r="17" spans="2:3" x14ac:dyDescent="0.25">
      <c r="B17" s="20"/>
      <c r="C17" s="28"/>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Overview</vt:lpstr>
      <vt:lpstr>Parts</vt:lpstr>
      <vt:lpstr>POs</vt:lpstr>
      <vt:lpstr>PODs</vt:lpstr>
      <vt:lpstr>PO Hist.</vt:lpstr>
      <vt:lpstr>Tasks</vt:lpstr>
      <vt:lpstr>T Hist.</vt:lpstr>
      <vt:lpstr>Project Journal</vt:lpstr>
      <vt:lpstr>'Project Journal'!POHist</vt:lpstr>
      <vt:lpstr>POHist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Kaden Burgart</dc:creator>
  <cp:lastModifiedBy>Kaden Burgart</cp:lastModifiedBy>
  <dcterms:created xsi:type="dcterms:W3CDTF">2015-06-05T18:17:20Z</dcterms:created>
  <dcterms:modified xsi:type="dcterms:W3CDTF">2026-01-13T22:51:37Z</dcterms:modified>
</cp:coreProperties>
</file>